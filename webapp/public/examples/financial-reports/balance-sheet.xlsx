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SO8jUyB8eqWQ94YZfyQcoIEEW6S8d0RJLRYWR3s6hQ="/>
    </ext>
  </extLst>
</workbook>
</file>

<file path=xl/sharedStrings.xml><?xml version="1.0" encoding="utf-8"?>
<sst xmlns="http://schemas.openxmlformats.org/spreadsheetml/2006/main" count="121" uniqueCount="121">
  <si>
    <t>Balance Sheet</t>
  </si>
  <si>
    <t>Example Company</t>
  </si>
  <si>
    <t/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</si>
  <si>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</si>
  <si>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</si>
  <si>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</si>
  <si>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</si>
  <si>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</si>
  <si>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</si>
  <si>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</si>
  <si>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</si>
  <si>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</si>
  <si>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</si>
  <si>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</si>
  <si>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</si>
  <si>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</si>
  <si>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Assets</t>
  </si>
  <si>
    <t>Current Assets</t>
  </si>
  <si>
    <t>Bank Accounts</t>
  </si>
  <si>
    <t xml:space="preserve">1010 Bank </t>
  </si>
  <si>
    <t>1011 Bank</t>
  </si>
  <si>
    <t>1012 Bank</t>
  </si>
  <si>
    <t>1013 Bank</t>
  </si>
  <si>
    <t>1014 Bank</t>
  </si>
  <si>
    <t>1015 Bank</t>
  </si>
  <si>
    <t>Total for Bank Accounts</t>
  </si>
  <si>
    <t>Accounts Receivable</t>
  </si>
  <si>
    <t>1400 Accounts Receivable (A/R)</t>
  </si>
  <si>
    <t>1410 Accounts Receivable (A/R) Events</t>
  </si>
  <si>
    <t>Total for Accounts Receivable</t>
  </si>
  <si>
    <t>Other Current Assets</t>
  </si>
  <si>
    <t>1200 Clearing Accounts</t>
  </si>
  <si>
    <t>1255 Other Clearing Account</t>
  </si>
  <si>
    <t>1256 Other Clearing Account</t>
  </si>
  <si>
    <t>1257 Other Clearing Account</t>
  </si>
  <si>
    <t>1258 Other Clearing Account</t>
  </si>
  <si>
    <t>1259 Other Clearing Account</t>
  </si>
  <si>
    <t>1260 Other Clearing Account</t>
  </si>
  <si>
    <t>1261 Other Clearing Account</t>
  </si>
  <si>
    <t>1262 Other Clearing Account</t>
  </si>
  <si>
    <t>1263 Other Clearing Account</t>
  </si>
  <si>
    <t>1264 Other Clearing Account</t>
  </si>
  <si>
    <t>1265 Other Clearing Account</t>
  </si>
  <si>
    <t>1266 Other Clearing Account</t>
  </si>
  <si>
    <t>Total for 1200 Clearing Accounts</t>
  </si>
  <si>
    <t>1500 CPG &amp; Co-Packer Inventory Asset</t>
  </si>
  <si>
    <t>1501 Inventory Reserve</t>
  </si>
  <si>
    <t>1511 Inventory - Raw Materials</t>
  </si>
  <si>
    <t>1512 Inventory - Raw Materials</t>
  </si>
  <si>
    <t>1521 Inventory - Finished Goods</t>
  </si>
  <si>
    <t>1522 Inventory - Finished Goods</t>
  </si>
  <si>
    <t>1523 Inventory - Finished Goods</t>
  </si>
  <si>
    <t>1531 Inventory</t>
  </si>
  <si>
    <t>1600 Undeposited Funds</t>
  </si>
  <si>
    <t>1610 Prepaid Expenses</t>
  </si>
  <si>
    <t>1620 Vendor Expense Reimbursment</t>
  </si>
  <si>
    <t>Shopify Carried Balances</t>
  </si>
  <si>
    <t>Total for Other Current Assets</t>
  </si>
  <si>
    <t>Total for Current Assets</t>
  </si>
  <si>
    <t>Fixed Assets</t>
  </si>
  <si>
    <t>1700 Capital Expenditure</t>
  </si>
  <si>
    <t>1705 Construction &amp; Equipment In Progress</t>
  </si>
  <si>
    <t>1710 Fixed Asset</t>
  </si>
  <si>
    <t>1711 Equipment &amp; Supplies</t>
  </si>
  <si>
    <t>1712 Accumulated Depreciation (Equip.)</t>
  </si>
  <si>
    <t>1713 Furniture &amp; Fixtures</t>
  </si>
  <si>
    <t>1714 Accumulated Depreciation (FF)</t>
  </si>
  <si>
    <t>1715 Leasehold Improvements</t>
  </si>
  <si>
    <t>1716 Accumulated Depreciation (LH)</t>
  </si>
  <si>
    <t>1717 POS Software</t>
  </si>
  <si>
    <t>1718 Accumulated Amortization (SW)</t>
  </si>
  <si>
    <t>1720 Accumulated Amortization (Org. Cost)</t>
  </si>
  <si>
    <t>1722 Accumulated Amortization (Start Up)</t>
  </si>
  <si>
    <t>1719 Organization Cost</t>
  </si>
  <si>
    <t>1721 Start Up Cost</t>
  </si>
  <si>
    <t>Total for 1710 Fixed Asset</t>
  </si>
  <si>
    <t>Total for Fixed Assets</t>
  </si>
  <si>
    <t>Other Assets</t>
  </si>
  <si>
    <t>1800 Security Deposits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</si>
  <si>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</si>
  <si>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</si>
  <si>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</si>
  <si>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</si>
  <si>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</si>
  <si>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</si>
  <si>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2100 Accounts Payable</t>
  </si>
  <si>
    <t>Total for Accounts Payable</t>
  </si>
  <si>
    <t>Credit Cards</t>
  </si>
  <si>
    <t>2348 Card</t>
  </si>
  <si>
    <t>2349 Card</t>
  </si>
  <si>
    <t>2350 Card</t>
  </si>
  <si>
    <t>2351 Card</t>
  </si>
  <si>
    <t>Total for Credit Cards</t>
  </si>
  <si>
    <t>Other Current Liabilities</t>
  </si>
  <si>
    <t>2400 Gift Card Liability</t>
  </si>
  <si>
    <t>2450 Accrued Expenses</t>
  </si>
  <si>
    <t>2500 Payroll Liability</t>
  </si>
  <si>
    <t>2610 Sales Tax Payable</t>
  </si>
  <si>
    <t>2700 Undistributed Tips</t>
  </si>
  <si>
    <t>Total for Other Current Liabilities</t>
  </si>
  <si>
    <t>Total for Current Liabilities</t>
  </si>
  <si>
    <t>Long-term Liabilities</t>
  </si>
  <si>
    <t>2809 Loan payable</t>
  </si>
  <si>
    <t>2810 Loan payable</t>
  </si>
  <si>
    <t>2811 Loan payable</t>
  </si>
  <si>
    <t>2812 Loan payable</t>
  </si>
  <si>
    <t>2813 Loan payable</t>
  </si>
  <si>
    <t>Total for Long-term Liabilities</t>
  </si>
  <si>
    <t>Total for Liabilities</t>
  </si>
  <si>
    <t>Equity</t>
  </si>
  <si>
    <t>3100 Opening Balance Equity</t>
  </si>
  <si>
    <t>3200 Owner's Investment</t>
  </si>
  <si>
    <t>3201 Owner's Investment</t>
  </si>
  <si>
    <t>3202 Owner's Investment</t>
  </si>
  <si>
    <t>3203 Owner's Investment</t>
  </si>
  <si>
    <t>3204 Owner's Investment</t>
  </si>
  <si>
    <t>3400 Prior Period Adjustment</t>
  </si>
  <si>
    <t>3500 Retained Earnings</t>
  </si>
  <si>
    <t>Net Income</t>
  </si>
  <si>
    <t>Total for Equity</t>
  </si>
  <si>
    <t>Total for Liabilities and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</si>
</sst>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14.0"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4" xfId="0" applyAlignment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56"/>
    <col customWidth="1" min="2" max="14" width="9.22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customHeight="1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15.75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</row>
    <row r="6" ht="15.75" customHeight="1">
      <c r="A6" s="7" t="s">
        <v>16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ht="15.75" customHeight="1">
      <c r="A7" s="7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15.75" customHeight="1">
      <c r="A8" s="7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15.75" customHeight="1">
      <c r="A9" s="9" t="s">
        <v>19</v>
      </c>
      <c r="B9" s="10">
        <v>55340.66999999993</v>
      </c>
      <c r="C9" s="10">
        <v>57205.75999999993</v>
      </c>
      <c r="D9" s="10">
        <v>28436.15999999993</v>
      </c>
      <c r="E9" s="10">
        <v>58667.87999999993</v>
      </c>
      <c r="F9" s="10">
        <v>186568.69999999995</v>
      </c>
      <c r="G9" s="10">
        <v>51851.45999999996</v>
      </c>
      <c r="H9" s="10">
        <v>22107.299999999963</v>
      </c>
      <c r="I9" s="10">
        <v>58597.35999999996</v>
      </c>
      <c r="J9" s="10">
        <v>88098.41999999995</v>
      </c>
      <c r="K9" s="10">
        <v>89863.91999999995</v>
      </c>
      <c r="L9" s="10">
        <v>-22285.580000000045</v>
      </c>
      <c r="M9" s="10">
        <v>61533.79999999996</v>
      </c>
      <c r="N9" s="10">
        <v>35812.09999999996</v>
      </c>
    </row>
    <row r="10" ht="15.75" customHeight="1">
      <c r="A10" s="9" t="s">
        <v>20</v>
      </c>
      <c r="B10" s="10">
        <v>18697.62</v>
      </c>
      <c r="C10" s="10">
        <v>8697.619999999999</v>
      </c>
      <c r="D10" s="10">
        <v>8697.619999999999</v>
      </c>
      <c r="E10" s="10">
        <v>8697.619999999999</v>
      </c>
      <c r="F10" s="10">
        <v>8697.619999999999</v>
      </c>
      <c r="G10" s="10">
        <v>8697.619999999999</v>
      </c>
      <c r="H10" s="10">
        <v>8697.619999999999</v>
      </c>
      <c r="I10" s="10">
        <v>8697.619999999999</v>
      </c>
      <c r="J10" s="10">
        <v>43369.020000000004</v>
      </c>
      <c r="K10" s="10">
        <v>43369.020000000004</v>
      </c>
      <c r="L10" s="10">
        <v>43369.020000000004</v>
      </c>
      <c r="M10" s="10">
        <v>43369.020000000004</v>
      </c>
      <c r="N10" s="10">
        <v>43369.020000000004</v>
      </c>
    </row>
    <row r="11" ht="15.75" customHeight="1">
      <c r="A11" s="9" t="s">
        <v>21</v>
      </c>
      <c r="B11" s="10">
        <v>266339.87999999995</v>
      </c>
      <c r="C11" s="10">
        <v>31470.28999999995</v>
      </c>
      <c r="D11" s="10">
        <v>212507.15999999995</v>
      </c>
      <c r="E11" s="10">
        <v>157352.46999999994</v>
      </c>
      <c r="F11" s="10">
        <v>243218.44999999995</v>
      </c>
      <c r="G11" s="10">
        <v>195332.59999999995</v>
      </c>
      <c r="H11" s="10">
        <v>102114.23999999995</v>
      </c>
      <c r="I11" s="10">
        <v>200839.78999999995</v>
      </c>
      <c r="J11" s="10">
        <v>158936.57999999996</v>
      </c>
      <c r="K11" s="10">
        <v>250449.59999999998</v>
      </c>
      <c r="L11" s="10">
        <v>287107.83999999997</v>
      </c>
      <c r="M11" s="10">
        <v>258447.53999999998</v>
      </c>
      <c r="N11" s="10">
        <v>402202.73</v>
      </c>
    </row>
    <row r="12" ht="15.75" customHeight="1">
      <c r="A12" s="9" t="s">
        <v>22</v>
      </c>
      <c r="B12" s="10">
        <v>679264.9200000004</v>
      </c>
      <c r="C12" s="10">
        <v>465462.4700000004</v>
      </c>
      <c r="D12" s="10">
        <v>506358.0500000004</v>
      </c>
      <c r="E12" s="10">
        <v>507427.6400000004</v>
      </c>
      <c r="F12" s="10">
        <v>278328.9200000004</v>
      </c>
      <c r="G12" s="10">
        <v>278936.4400000004</v>
      </c>
      <c r="H12" s="10">
        <v>1280088.9400000004</v>
      </c>
      <c r="I12" s="10">
        <v>1102607.4400000004</v>
      </c>
      <c r="J12" s="10">
        <v>1084714.0300000005</v>
      </c>
      <c r="K12" s="10">
        <v>1086805.3000000005</v>
      </c>
      <c r="L12" s="10">
        <v>1088861.3000000005</v>
      </c>
      <c r="M12" s="10">
        <v>2322614.5500000007</v>
      </c>
      <c r="N12" s="10">
        <v>2186653.0800000005</v>
      </c>
    </row>
    <row r="13" ht="15.75" customHeight="1">
      <c r="A13" s="9" t="s">
        <v>23</v>
      </c>
      <c r="B13" s="10">
        <v>-7.105427357601002E-14</v>
      </c>
      <c r="C13" s="10">
        <v>-7.105427357601002E-14</v>
      </c>
      <c r="D13" s="10">
        <v>-7.105427357601002E-14</v>
      </c>
      <c r="E13" s="10">
        <v>-7.105427357601002E-14</v>
      </c>
      <c r="F13" s="10">
        <v>-7.105427357601002E-14</v>
      </c>
      <c r="G13" s="10">
        <v>-7.105427357601002E-14</v>
      </c>
      <c r="H13" s="10">
        <v>-7.105427357601002E-14</v>
      </c>
      <c r="I13" s="10">
        <v>-7.105427357601002E-14</v>
      </c>
      <c r="J13" s="10">
        <v>-7.105427357601002E-14</v>
      </c>
      <c r="K13" s="10">
        <v>-7.105427357601002E-14</v>
      </c>
      <c r="L13" s="10">
        <v>-7.105427357601002E-14</v>
      </c>
      <c r="M13" s="10">
        <v>-7.105427357601002E-14</v>
      </c>
      <c r="N13" s="10">
        <v>-7.105427357601002E-14</v>
      </c>
    </row>
    <row r="14" ht="15.75" customHeight="1">
      <c r="A14" s="9" t="s">
        <v>24</v>
      </c>
      <c r="B14" s="10">
        <v>3.637978807091713E-12</v>
      </c>
      <c r="C14" s="10">
        <v>3.637978807091713E-12</v>
      </c>
      <c r="D14" s="10">
        <v>3.637978807091713E-12</v>
      </c>
      <c r="E14" s="10">
        <v>3.637978807091713E-12</v>
      </c>
      <c r="F14" s="10">
        <v>3.637978807091713E-12</v>
      </c>
      <c r="G14" s="10">
        <v>3.637978807091713E-12</v>
      </c>
      <c r="H14" s="10">
        <v>3.637978807091713E-12</v>
      </c>
      <c r="I14" s="10">
        <v>3.637978807091713E-12</v>
      </c>
      <c r="J14" s="10">
        <v>3.637978807091713E-12</v>
      </c>
      <c r="K14" s="10">
        <v>3.637978807091713E-12</v>
      </c>
      <c r="L14" s="10">
        <v>3.637978807091713E-12</v>
      </c>
      <c r="M14" s="10">
        <v>3.637978807091713E-12</v>
      </c>
      <c r="N14" s="10">
        <v>3.637978807091713E-12</v>
      </c>
    </row>
    <row r="15" ht="15.75" customHeight="1">
      <c r="A15" s="11" t="s">
        <v>25</v>
      </c>
      <c r="B15" s="12">
        <f t="shared" ref="B15:N15" si="1">B8+B9+B10+B11+B12+B13+B14</f>
        <v>1019643.09</v>
      </c>
      <c r="C15" s="12">
        <f t="shared" si="1"/>
        <v>562836.14</v>
      </c>
      <c r="D15" s="12">
        <f t="shared" si="1"/>
        <v>755998.99</v>
      </c>
      <c r="E15" s="12">
        <f t="shared" si="1"/>
        <v>732145.61</v>
      </c>
      <c r="F15" s="12">
        <f t="shared" si="1"/>
        <v>716813.69</v>
      </c>
      <c r="G15" s="12">
        <f t="shared" si="1"/>
        <v>534818.12</v>
      </c>
      <c r="H15" s="12">
        <f t="shared" si="1"/>
        <v>1413008.1</v>
      </c>
      <c r="I15" s="12">
        <f t="shared" si="1"/>
        <v>1370742.21</v>
      </c>
      <c r="J15" s="12">
        <f t="shared" si="1"/>
        <v>1375118.05</v>
      </c>
      <c r="K15" s="12">
        <f t="shared" si="1"/>
        <v>1470487.84</v>
      </c>
      <c r="L15" s="12">
        <f t="shared" si="1"/>
        <v>1397052.58</v>
      </c>
      <c r="M15" s="12">
        <f t="shared" si="1"/>
        <v>2685964.91</v>
      </c>
      <c r="N15" s="12">
        <f t="shared" si="1"/>
        <v>2668036.93</v>
      </c>
    </row>
    <row r="16" ht="15.75" customHeight="1">
      <c r="A16" s="7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5.75" customHeight="1">
      <c r="A17" s="7" t="s">
        <v>27</v>
      </c>
      <c r="B17" s="10">
        <v>481975.30999999994</v>
      </c>
      <c r="C17" s="10">
        <v>723943.4099999999</v>
      </c>
      <c r="D17" s="10">
        <v>465229.0999999999</v>
      </c>
      <c r="E17" s="10">
        <v>424586.1499999999</v>
      </c>
      <c r="F17" s="10">
        <v>295148.0899999999</v>
      </c>
      <c r="G17" s="10">
        <v>737621.0299999999</v>
      </c>
      <c r="H17" s="10">
        <v>664966.22</v>
      </c>
      <c r="I17" s="10">
        <v>734402.26</v>
      </c>
      <c r="J17" s="10">
        <v>707095.63</v>
      </c>
      <c r="K17" s="10">
        <v>662496.6</v>
      </c>
      <c r="L17" s="10">
        <v>867619.08</v>
      </c>
      <c r="M17" s="10">
        <v>734212.4199999999</v>
      </c>
      <c r="N17" s="10">
        <v>867756.3799999999</v>
      </c>
    </row>
    <row r="18" ht="15.75" customHeight="1">
      <c r="A18" s="7" t="s">
        <v>28</v>
      </c>
      <c r="B18" s="10">
        <v>0.0</v>
      </c>
      <c r="C18" s="10">
        <v>0.0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31314.24</v>
      </c>
      <c r="K18" s="10">
        <v>0.0</v>
      </c>
      <c r="L18" s="10">
        <v>0.0</v>
      </c>
      <c r="M18" s="10">
        <v>0.0</v>
      </c>
      <c r="N18" s="10">
        <v>0.0</v>
      </c>
    </row>
    <row r="19" ht="15.75" customHeight="1">
      <c r="A19" s="11" t="s">
        <v>29</v>
      </c>
      <c r="B19" s="12">
        <f t="shared" ref="B19:N19" si="2">B16+B17+B18</f>
        <v>481975.31</v>
      </c>
      <c r="C19" s="12">
        <f t="shared" si="2"/>
        <v>723943.41</v>
      </c>
      <c r="D19" s="12">
        <f t="shared" si="2"/>
        <v>465229.1</v>
      </c>
      <c r="E19" s="12">
        <f t="shared" si="2"/>
        <v>424586.15</v>
      </c>
      <c r="F19" s="12">
        <f t="shared" si="2"/>
        <v>295148.09</v>
      </c>
      <c r="G19" s="12">
        <f t="shared" si="2"/>
        <v>737621.03</v>
      </c>
      <c r="H19" s="12">
        <f t="shared" si="2"/>
        <v>664966.22</v>
      </c>
      <c r="I19" s="12">
        <f t="shared" si="2"/>
        <v>734402.26</v>
      </c>
      <c r="J19" s="12">
        <f t="shared" si="2"/>
        <v>738409.87</v>
      </c>
      <c r="K19" s="12">
        <f t="shared" si="2"/>
        <v>662496.6</v>
      </c>
      <c r="L19" s="12">
        <f t="shared" si="2"/>
        <v>867619.08</v>
      </c>
      <c r="M19" s="12">
        <f t="shared" si="2"/>
        <v>734212.42</v>
      </c>
      <c r="N19" s="12">
        <f t="shared" si="2"/>
        <v>867756.38</v>
      </c>
    </row>
    <row r="20" ht="15.75" customHeight="1">
      <c r="A20" s="7" t="s">
        <v>30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5.75" customHeight="1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5.75" customHeight="1">
      <c r="A22" s="7" t="s">
        <v>32</v>
      </c>
      <c r="B22" s="10">
        <v>4545.059999999999</v>
      </c>
      <c r="C22" s="10">
        <v>8629.559999999998</v>
      </c>
      <c r="D22" s="10">
        <v>7232.029999999998</v>
      </c>
      <c r="E22" s="10">
        <v>191.70999999999822</v>
      </c>
      <c r="F22" s="10">
        <v>2125.4399999999982</v>
      </c>
      <c r="G22" s="10">
        <v>9075.699999999999</v>
      </c>
      <c r="H22" s="10">
        <v>9993.779999999999</v>
      </c>
      <c r="I22" s="10">
        <v>9736.039999999999</v>
      </c>
      <c r="J22" s="10">
        <v>10534.14</v>
      </c>
      <c r="K22" s="10">
        <v>4057.6399999999994</v>
      </c>
      <c r="L22" s="10">
        <v>6173.969999999999</v>
      </c>
      <c r="M22" s="10">
        <v>6321.139999999999</v>
      </c>
      <c r="N22" s="10">
        <v>2901.7499999999995</v>
      </c>
    </row>
    <row r="23" ht="15.75" customHeight="1">
      <c r="A23" s="7" t="s">
        <v>33</v>
      </c>
      <c r="B23" s="10">
        <v>3.694822225952521E-13</v>
      </c>
      <c r="C23" s="10">
        <v>3.694822225952521E-13</v>
      </c>
      <c r="D23" s="10">
        <v>3.694822225952521E-13</v>
      </c>
      <c r="E23" s="10">
        <v>3.694822225952521E-13</v>
      </c>
      <c r="F23" s="10">
        <v>3.694822225952521E-13</v>
      </c>
      <c r="G23" s="10">
        <v>3.694822225952521E-13</v>
      </c>
      <c r="H23" s="10">
        <v>3.694822225952521E-13</v>
      </c>
      <c r="I23" s="10">
        <v>3.694822225952521E-13</v>
      </c>
      <c r="J23" s="10">
        <v>3.694822225952521E-13</v>
      </c>
      <c r="K23" s="10">
        <v>3.694822225952521E-13</v>
      </c>
      <c r="L23" s="10">
        <v>3.694822225952521E-13</v>
      </c>
      <c r="M23" s="10">
        <v>3.694822225952521E-13</v>
      </c>
      <c r="N23" s="10">
        <v>3.694822225952521E-13</v>
      </c>
    </row>
    <row r="24" ht="15.75" customHeight="1">
      <c r="A24" s="7" t="s">
        <v>34</v>
      </c>
      <c r="B24" s="10">
        <v>1768.0000000000005</v>
      </c>
      <c r="C24" s="10">
        <v>2747.8600000000006</v>
      </c>
      <c r="D24" s="10">
        <v>2441.0000000000005</v>
      </c>
      <c r="E24" s="10">
        <v>2074.0000000000005</v>
      </c>
      <c r="F24" s="10">
        <v>1438.6900000000005</v>
      </c>
      <c r="G24" s="10">
        <v>17.000000000000455</v>
      </c>
      <c r="H24" s="10">
        <v>17.000000000000455</v>
      </c>
      <c r="I24" s="10">
        <v>17.000000000000455</v>
      </c>
      <c r="J24" s="10">
        <v>17.000000000000455</v>
      </c>
      <c r="K24" s="10">
        <v>17.000000000000455</v>
      </c>
      <c r="L24" s="10">
        <v>17.000000000000455</v>
      </c>
      <c r="M24" s="10">
        <v>3857.7800000000007</v>
      </c>
      <c r="N24" s="10">
        <v>1017.0000000000005</v>
      </c>
    </row>
    <row r="25" ht="15.75" customHeight="1">
      <c r="A25" s="7" t="s">
        <v>35</v>
      </c>
      <c r="B25" s="10">
        <v>3823.6700000000005</v>
      </c>
      <c r="C25" s="10">
        <v>4946.960000000001</v>
      </c>
      <c r="D25" s="10">
        <v>3545.430000000001</v>
      </c>
      <c r="E25" s="10">
        <v>3845.910000000001</v>
      </c>
      <c r="F25" s="10">
        <v>5671.910000000002</v>
      </c>
      <c r="G25" s="10">
        <v>1.8189894035458565E-12</v>
      </c>
      <c r="H25" s="10">
        <v>1.8189894035458565E-12</v>
      </c>
      <c r="I25" s="10">
        <v>1.8189894035458565E-12</v>
      </c>
      <c r="J25" s="10">
        <v>1.8189894035458565E-12</v>
      </c>
      <c r="K25" s="10">
        <v>1.8189894035458565E-12</v>
      </c>
      <c r="L25" s="10">
        <v>1.8189894035458565E-12</v>
      </c>
      <c r="M25" s="10">
        <v>1.8189894035458565E-12</v>
      </c>
      <c r="N25" s="10">
        <v>1.8189894035458565E-12</v>
      </c>
    </row>
    <row r="26" ht="15.75" customHeight="1">
      <c r="A26" s="7" t="s">
        <v>36</v>
      </c>
      <c r="B26" s="10">
        <v>10403.86</v>
      </c>
      <c r="C26" s="10">
        <v>13273.44</v>
      </c>
      <c r="D26" s="10">
        <v>15198.91</v>
      </c>
      <c r="E26" s="10">
        <v>191.5699999999997</v>
      </c>
      <c r="F26" s="10">
        <v>-2.8421709430404007E-13</v>
      </c>
      <c r="G26" s="10">
        <v>-2.8421709430404007E-13</v>
      </c>
      <c r="H26" s="10">
        <v>-2.8421709430404007E-13</v>
      </c>
      <c r="I26" s="10">
        <v>-2.8421709430404007E-13</v>
      </c>
      <c r="J26" s="10">
        <v>-2.8421709430404007E-13</v>
      </c>
      <c r="K26" s="10">
        <v>-2.8421709430404007E-13</v>
      </c>
      <c r="L26" s="10">
        <v>-2.8421709430404007E-13</v>
      </c>
      <c r="M26" s="10">
        <v>-2.8421709430404007E-13</v>
      </c>
      <c r="N26" s="10">
        <v>-2.8421709430404007E-13</v>
      </c>
    </row>
    <row r="27" ht="15.75" customHeight="1">
      <c r="A27" s="7" t="s">
        <v>37</v>
      </c>
      <c r="B27" s="10">
        <v>522.1500000000015</v>
      </c>
      <c r="C27" s="10">
        <v>454.86000000000143</v>
      </c>
      <c r="D27" s="10">
        <v>57055.63</v>
      </c>
      <c r="E27" s="10">
        <v>0.0</v>
      </c>
      <c r="F27" s="10">
        <v>0.0</v>
      </c>
      <c r="G27" s="10">
        <v>0.0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</row>
    <row r="28" ht="15.75" customHeight="1">
      <c r="A28" s="7" t="s">
        <v>38</v>
      </c>
      <c r="B28" s="10">
        <v>740.3299999999991</v>
      </c>
      <c r="C28" s="10">
        <v>98.54999999999916</v>
      </c>
      <c r="D28" s="10">
        <v>-2.900000000000844</v>
      </c>
      <c r="E28" s="10">
        <v>445.37999999999914</v>
      </c>
      <c r="F28" s="10">
        <v>527.9199999999992</v>
      </c>
      <c r="G28" s="10">
        <v>738.3899999999992</v>
      </c>
      <c r="H28" s="10">
        <v>929.3999999999992</v>
      </c>
      <c r="I28" s="10">
        <v>1624.7399999999993</v>
      </c>
      <c r="J28" s="10">
        <v>2723.7399999999993</v>
      </c>
      <c r="K28" s="10">
        <v>-4.547473508864641E-13</v>
      </c>
      <c r="L28" s="10">
        <v>-4.547473508864641E-13</v>
      </c>
      <c r="M28" s="10">
        <v>-4.547473508864641E-13</v>
      </c>
      <c r="N28" s="10">
        <v>-4.547473508864641E-13</v>
      </c>
    </row>
    <row r="29" ht="15.75" customHeight="1">
      <c r="A29" s="7" t="s">
        <v>39</v>
      </c>
      <c r="B29" s="10">
        <v>20.68</v>
      </c>
      <c r="C29" s="10">
        <v>52.14</v>
      </c>
      <c r="D29" s="10">
        <v>52.14</v>
      </c>
      <c r="E29" s="10">
        <v>52.14</v>
      </c>
      <c r="F29" s="10">
        <v>52.14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</row>
    <row r="30" ht="15.75" customHeight="1">
      <c r="A30" s="7" t="s">
        <v>40</v>
      </c>
      <c r="B30" s="10">
        <v>993.1300000000001</v>
      </c>
      <c r="C30" s="10">
        <v>1211.1100000000001</v>
      </c>
      <c r="D30" s="10">
        <v>1393.5100000000002</v>
      </c>
      <c r="E30" s="10">
        <v>1096.9300000000003</v>
      </c>
      <c r="F30" s="10">
        <v>413.8900000000003</v>
      </c>
      <c r="G30" s="10">
        <v>703.6600000000003</v>
      </c>
      <c r="H30" s="10">
        <v>425.0500000000003</v>
      </c>
      <c r="I30" s="10">
        <v>510.6300000000003</v>
      </c>
      <c r="J30" s="10">
        <v>858.5500000000003</v>
      </c>
      <c r="K30" s="10">
        <v>526.0500000000003</v>
      </c>
      <c r="L30" s="10">
        <v>689.1500000000003</v>
      </c>
      <c r="M30" s="10">
        <v>677.6400000000003</v>
      </c>
      <c r="N30" s="10">
        <v>441.38000000000034</v>
      </c>
    </row>
    <row r="31" ht="15.75" customHeight="1">
      <c r="A31" s="7" t="s">
        <v>41</v>
      </c>
      <c r="B31" s="10">
        <v>131.35000000000036</v>
      </c>
      <c r="C31" s="10">
        <v>57.39000000000037</v>
      </c>
      <c r="D31" s="10">
        <v>-1213.0699999999997</v>
      </c>
      <c r="E31" s="10">
        <v>-1405.5099999999998</v>
      </c>
      <c r="F31" s="10">
        <v>-861.1899999999997</v>
      </c>
      <c r="G31" s="10">
        <v>165.96000000000038</v>
      </c>
      <c r="H31" s="10">
        <v>19.610000000000383</v>
      </c>
      <c r="I31" s="10">
        <v>-35.749999999999616</v>
      </c>
      <c r="J31" s="10">
        <v>99.24000000000039</v>
      </c>
      <c r="K31" s="10">
        <v>75.1300000000004</v>
      </c>
      <c r="L31" s="10">
        <v>267.1300000000004</v>
      </c>
      <c r="M31" s="10">
        <v>-337.2399999999996</v>
      </c>
      <c r="N31" s="10">
        <v>58.1200000000004</v>
      </c>
    </row>
    <row r="32" ht="15.75" customHeight="1">
      <c r="A32" s="7" t="s">
        <v>42</v>
      </c>
      <c r="B32" s="10">
        <v>6910.080000000001</v>
      </c>
      <c r="C32" s="10">
        <v>1239.1900000000005</v>
      </c>
      <c r="D32" s="10">
        <v>4002.2200000000007</v>
      </c>
      <c r="E32" s="10">
        <v>2988.210000000001</v>
      </c>
      <c r="F32" s="10">
        <v>2288.460000000001</v>
      </c>
      <c r="G32" s="10">
        <v>9.094947017729282E-13</v>
      </c>
      <c r="H32" s="10">
        <v>9.094947017729282E-13</v>
      </c>
      <c r="I32" s="10">
        <v>9.094947017729282E-13</v>
      </c>
      <c r="J32" s="10">
        <v>9.094947017729282E-13</v>
      </c>
      <c r="K32" s="10">
        <v>9.094947017729282E-13</v>
      </c>
      <c r="L32" s="10">
        <v>9.094947017729282E-13</v>
      </c>
      <c r="M32" s="10">
        <v>9.094947017729282E-13</v>
      </c>
      <c r="N32" s="10">
        <v>9.094947017729282E-13</v>
      </c>
    </row>
    <row r="33" ht="15.75" customHeight="1">
      <c r="A33" s="7" t="s">
        <v>43</v>
      </c>
      <c r="B33" s="10">
        <v>2619.5799999999977</v>
      </c>
      <c r="C33" s="10">
        <v>4707.199999999997</v>
      </c>
      <c r="D33" s="10">
        <v>3931.179999999997</v>
      </c>
      <c r="E33" s="10">
        <v>1618.239999999997</v>
      </c>
      <c r="F33" s="10">
        <v>1424.8899999999971</v>
      </c>
      <c r="G33" s="10">
        <v>-2.9558577807620168E-12</v>
      </c>
      <c r="H33" s="10">
        <v>-2.9558577807620168E-12</v>
      </c>
      <c r="I33" s="10">
        <v>-2.9558577807620168E-12</v>
      </c>
      <c r="J33" s="10">
        <v>-2.9558577807620168E-12</v>
      </c>
      <c r="K33" s="10">
        <v>-2.9558577807620168E-12</v>
      </c>
      <c r="L33" s="10">
        <v>-2.9558577807620168E-12</v>
      </c>
      <c r="M33" s="10">
        <v>-2.9558577807620168E-12</v>
      </c>
      <c r="N33" s="10">
        <v>-2.9558577807620168E-12</v>
      </c>
    </row>
    <row r="34" ht="15.75" customHeight="1">
      <c r="A34" s="11" t="s">
        <v>44</v>
      </c>
      <c r="B34" s="12">
        <f t="shared" ref="B34:N34" si="3">B21+B22+B23+B24+B25+B26+B27+B28+B29+B30+B31+B32+B33</f>
        <v>32477.89</v>
      </c>
      <c r="C34" s="12">
        <f t="shared" si="3"/>
        <v>37418.26</v>
      </c>
      <c r="D34" s="12">
        <f t="shared" si="3"/>
        <v>93636.08</v>
      </c>
      <c r="E34" s="12">
        <f t="shared" si="3"/>
        <v>11098.58</v>
      </c>
      <c r="F34" s="12">
        <f t="shared" si="3"/>
        <v>13082.15</v>
      </c>
      <c r="G34" s="12">
        <f t="shared" si="3"/>
        <v>10700.71</v>
      </c>
      <c r="H34" s="12">
        <f t="shared" si="3"/>
        <v>11384.84</v>
      </c>
      <c r="I34" s="12">
        <f t="shared" si="3"/>
        <v>11852.66</v>
      </c>
      <c r="J34" s="12">
        <f t="shared" si="3"/>
        <v>14232.67</v>
      </c>
      <c r="K34" s="12">
        <f t="shared" si="3"/>
        <v>4675.82</v>
      </c>
      <c r="L34" s="12">
        <f t="shared" si="3"/>
        <v>7147.25</v>
      </c>
      <c r="M34" s="12">
        <f t="shared" si="3"/>
        <v>10519.32</v>
      </c>
      <c r="N34" s="12">
        <f t="shared" si="3"/>
        <v>4418.25</v>
      </c>
    </row>
    <row r="35" ht="15.75" customHeight="1">
      <c r="A35" s="7" t="s">
        <v>45</v>
      </c>
      <c r="B35" s="10">
        <v>-32116.169999999925</v>
      </c>
      <c r="C35" s="10">
        <v>-32116.169999999925</v>
      </c>
      <c r="D35" s="10">
        <v>-32116.169999999925</v>
      </c>
      <c r="E35" s="10">
        <v>7.275957614183426E-11</v>
      </c>
      <c r="F35" s="10">
        <v>7.275957614183426E-11</v>
      </c>
      <c r="G35" s="10">
        <v>7.275957614183426E-11</v>
      </c>
      <c r="H35" s="10">
        <v>7.275957614183426E-11</v>
      </c>
      <c r="I35" s="10">
        <v>7.275957614183426E-11</v>
      </c>
      <c r="J35" s="10">
        <v>7.275957614183426E-11</v>
      </c>
      <c r="K35" s="10">
        <v>7.275957614183426E-11</v>
      </c>
      <c r="L35" s="10">
        <v>7.275957614183426E-11</v>
      </c>
      <c r="M35" s="10">
        <v>7.275957614183426E-11</v>
      </c>
      <c r="N35" s="10">
        <v>7.275957614183426E-11</v>
      </c>
    </row>
    <row r="36" ht="15.75" customHeight="1">
      <c r="A36" s="7" t="s">
        <v>46</v>
      </c>
      <c r="B36" s="10">
        <v>0.0</v>
      </c>
      <c r="C36" s="10">
        <v>0.0</v>
      </c>
      <c r="D36" s="10">
        <v>0.0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</row>
    <row r="37" ht="15.75" customHeight="1">
      <c r="A37" s="9" t="s">
        <v>47</v>
      </c>
      <c r="B37" s="10">
        <v>300550.13000000006</v>
      </c>
      <c r="C37" s="10">
        <v>267218.2700000001</v>
      </c>
      <c r="D37" s="10">
        <v>243267.0300000001</v>
      </c>
      <c r="E37" s="10">
        <v>131066.13000000009</v>
      </c>
      <c r="F37" s="10">
        <v>132885.5100000001</v>
      </c>
      <c r="G37" s="10">
        <v>134852.3300000001</v>
      </c>
      <c r="H37" s="10">
        <v>137153.5400000001</v>
      </c>
      <c r="I37" s="10">
        <v>197622.7900000001</v>
      </c>
      <c r="J37" s="10">
        <v>167080.1300000001</v>
      </c>
      <c r="K37" s="10">
        <v>98792.89000000009</v>
      </c>
      <c r="L37" s="10">
        <v>183029.90000000008</v>
      </c>
      <c r="M37" s="10">
        <v>214564.3800000001</v>
      </c>
      <c r="N37" s="10">
        <v>161596.6400000001</v>
      </c>
    </row>
    <row r="38" ht="15.75" customHeight="1">
      <c r="A38" s="9" t="s">
        <v>48</v>
      </c>
      <c r="B38" s="10">
        <v>354112.1600000001</v>
      </c>
      <c r="C38" s="10">
        <v>350665.3100000001</v>
      </c>
      <c r="D38" s="10">
        <v>344416.52000000014</v>
      </c>
      <c r="E38" s="10">
        <v>314789.4400000001</v>
      </c>
      <c r="F38" s="10">
        <v>311952.09000000014</v>
      </c>
      <c r="G38" s="10">
        <v>319018.04000000015</v>
      </c>
      <c r="H38" s="10">
        <v>255618.21000000014</v>
      </c>
      <c r="I38" s="10">
        <v>280202.10000000015</v>
      </c>
      <c r="J38" s="10">
        <v>348036.14000000013</v>
      </c>
      <c r="K38" s="10">
        <v>240742.48000000013</v>
      </c>
      <c r="L38" s="10">
        <v>242903.5600000001</v>
      </c>
      <c r="M38" s="10">
        <v>263173.8500000001</v>
      </c>
      <c r="N38" s="10">
        <v>196498.7500000001</v>
      </c>
    </row>
    <row r="39" ht="15.75" customHeight="1">
      <c r="A39" s="9" t="s">
        <v>49</v>
      </c>
      <c r="B39" s="10">
        <v>700720.2200000001</v>
      </c>
      <c r="C39" s="10">
        <v>658922.6900000001</v>
      </c>
      <c r="D39" s="10">
        <v>619008.5900000001</v>
      </c>
      <c r="E39" s="10">
        <v>581626.3800000001</v>
      </c>
      <c r="F39" s="10">
        <v>577179.8500000001</v>
      </c>
      <c r="G39" s="10">
        <v>444320.3600000001</v>
      </c>
      <c r="H39" s="10">
        <v>471148.7500000001</v>
      </c>
      <c r="I39" s="10">
        <v>602413.3500000001</v>
      </c>
      <c r="J39" s="10">
        <v>590841.6500000001</v>
      </c>
      <c r="K39" s="10">
        <v>515109.14000000013</v>
      </c>
      <c r="L39" s="10">
        <v>423228.5000000001</v>
      </c>
      <c r="M39" s="10">
        <v>343878.5400000001</v>
      </c>
      <c r="N39" s="10">
        <v>387315.95000000007</v>
      </c>
    </row>
    <row r="40" ht="15.75" customHeight="1">
      <c r="A40" s="9" t="s">
        <v>50</v>
      </c>
      <c r="B40" s="10">
        <v>406816.69</v>
      </c>
      <c r="C40" s="10">
        <v>405180.45</v>
      </c>
      <c r="D40" s="10">
        <v>345538.95</v>
      </c>
      <c r="E40" s="10">
        <v>338581.3</v>
      </c>
      <c r="F40" s="10">
        <v>298483.38</v>
      </c>
      <c r="G40" s="10">
        <v>268014.1</v>
      </c>
      <c r="H40" s="10">
        <v>348706.3</v>
      </c>
      <c r="I40" s="10">
        <v>184984.44999999998</v>
      </c>
      <c r="J40" s="10">
        <v>194120.24999999997</v>
      </c>
      <c r="K40" s="10">
        <v>304122.45999999996</v>
      </c>
      <c r="L40" s="10">
        <v>233314.45999999996</v>
      </c>
      <c r="M40" s="10">
        <v>259096.29999999996</v>
      </c>
      <c r="N40" s="10">
        <v>266190.42</v>
      </c>
    </row>
    <row r="41" ht="15.75" customHeight="1">
      <c r="A41" s="9" t="s">
        <v>51</v>
      </c>
      <c r="B41" s="10">
        <v>47966.28</v>
      </c>
      <c r="C41" s="10">
        <v>47712.36</v>
      </c>
      <c r="D41" s="10">
        <v>46961.88</v>
      </c>
      <c r="E41" s="10">
        <v>45634.99</v>
      </c>
      <c r="F41" s="10">
        <v>44809.509999999995</v>
      </c>
      <c r="G41" s="10">
        <v>48263.619999999995</v>
      </c>
      <c r="H41" s="10">
        <v>53268.84999999999</v>
      </c>
      <c r="I41" s="10">
        <v>50997.13999999999</v>
      </c>
      <c r="J41" s="10">
        <v>48166.729999999996</v>
      </c>
      <c r="K41" s="10">
        <v>41048.42</v>
      </c>
      <c r="L41" s="10">
        <v>39942.18</v>
      </c>
      <c r="M41" s="10">
        <v>39258.42</v>
      </c>
      <c r="N41" s="10">
        <v>40122.92</v>
      </c>
    </row>
    <row r="42" ht="15.75" customHeight="1">
      <c r="A42" s="9" t="s">
        <v>52</v>
      </c>
      <c r="B42" s="10">
        <v>13029.289999999999</v>
      </c>
      <c r="C42" s="10">
        <v>16611.04</v>
      </c>
      <c r="D42" s="10">
        <v>20266.88</v>
      </c>
      <c r="E42" s="10">
        <v>12875.02</v>
      </c>
      <c r="F42" s="10">
        <v>1884.17</v>
      </c>
      <c r="G42" s="10">
        <v>0.0</v>
      </c>
      <c r="H42" s="10">
        <v>0.0</v>
      </c>
      <c r="I42" s="10">
        <v>-11414.0</v>
      </c>
      <c r="J42" s="10">
        <v>-732.6900000000005</v>
      </c>
      <c r="K42" s="10">
        <v>4731.74</v>
      </c>
      <c r="L42" s="10">
        <v>4629.83</v>
      </c>
      <c r="M42" s="10">
        <v>-5040.92</v>
      </c>
      <c r="N42" s="10">
        <v>0.0</v>
      </c>
    </row>
    <row r="43" ht="15.75" customHeight="1">
      <c r="A43" s="7" t="s">
        <v>53</v>
      </c>
      <c r="B43" s="10">
        <v>0.0</v>
      </c>
      <c r="C43" s="10">
        <v>0.0</v>
      </c>
      <c r="D43" s="10">
        <v>0.0</v>
      </c>
      <c r="E43" s="10">
        <v>0.0</v>
      </c>
      <c r="F43" s="10">
        <v>0.0</v>
      </c>
      <c r="G43" s="10">
        <v>0.0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</row>
    <row r="44" ht="15.75" customHeight="1">
      <c r="A44" s="7" t="s">
        <v>54</v>
      </c>
      <c r="B44" s="10">
        <v>17363.39</v>
      </c>
      <c r="C44" s="10">
        <v>17363.39</v>
      </c>
      <c r="D44" s="10">
        <v>11745.0</v>
      </c>
      <c r="E44" s="10">
        <v>0.0</v>
      </c>
      <c r="F44" s="10">
        <v>6150.0</v>
      </c>
      <c r="G44" s="10">
        <v>3000.0</v>
      </c>
      <c r="H44" s="10">
        <v>8737.5</v>
      </c>
      <c r="I44" s="10">
        <v>8737.5</v>
      </c>
      <c r="J44" s="10">
        <v>5737.5</v>
      </c>
      <c r="K44" s="10">
        <v>12549.630000000001</v>
      </c>
      <c r="L44" s="10">
        <v>12549.630000000001</v>
      </c>
      <c r="M44" s="10">
        <v>12919.630000000001</v>
      </c>
      <c r="N44" s="10">
        <v>3857.130000000001</v>
      </c>
    </row>
    <row r="45" ht="15.75" customHeight="1">
      <c r="A45" s="7" t="s">
        <v>55</v>
      </c>
      <c r="B45" s="10">
        <v>0.0</v>
      </c>
      <c r="C45" s="10">
        <v>0.0</v>
      </c>
      <c r="D45" s="10">
        <v>0.0</v>
      </c>
      <c r="E45" s="10">
        <v>0.0</v>
      </c>
      <c r="F45" s="10">
        <v>0.0</v>
      </c>
      <c r="G45" s="10">
        <v>0.0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</row>
    <row r="46" ht="15.75" customHeight="1">
      <c r="A46" s="7" t="s">
        <v>56</v>
      </c>
      <c r="B46" s="10">
        <v>0.0</v>
      </c>
      <c r="C46" s="10">
        <v>0.0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</row>
    <row r="47" ht="15.75" customHeight="1">
      <c r="A47" s="11" t="s">
        <v>57</v>
      </c>
      <c r="B47" s="12">
        <f t="shared" ref="B47:N47" si="4">B20+B34+B35+B36+B37+B38+B39+B40+B41+B42+B43+B44+B45+B46</f>
        <v>1840919.88</v>
      </c>
      <c r="C47" s="12">
        <f t="shared" si="4"/>
        <v>1768975.6</v>
      </c>
      <c r="D47" s="12">
        <f t="shared" si="4"/>
        <v>1692724.76</v>
      </c>
      <c r="E47" s="12">
        <f t="shared" si="4"/>
        <v>1435671.84</v>
      </c>
      <c r="F47" s="12">
        <f t="shared" si="4"/>
        <v>1386426.66</v>
      </c>
      <c r="G47" s="12">
        <f t="shared" si="4"/>
        <v>1228169.16</v>
      </c>
      <c r="H47" s="12">
        <f t="shared" si="4"/>
        <v>1286017.99</v>
      </c>
      <c r="I47" s="12">
        <f t="shared" si="4"/>
        <v>1325395.99</v>
      </c>
      <c r="J47" s="12">
        <f t="shared" si="4"/>
        <v>1367482.38</v>
      </c>
      <c r="K47" s="12">
        <f t="shared" si="4"/>
        <v>1221772.58</v>
      </c>
      <c r="L47" s="12">
        <f t="shared" si="4"/>
        <v>1146745.31</v>
      </c>
      <c r="M47" s="12">
        <f t="shared" si="4"/>
        <v>1138369.52</v>
      </c>
      <c r="N47" s="12">
        <f t="shared" si="4"/>
        <v>1060000.06</v>
      </c>
    </row>
    <row r="48" ht="15.75" customHeight="1">
      <c r="A48" s="11" t="s">
        <v>58</v>
      </c>
      <c r="B48" s="12">
        <f t="shared" ref="B48:N48" si="5">B7+B15+B19+B47</f>
        <v>3342538.28</v>
      </c>
      <c r="C48" s="12">
        <f t="shared" si="5"/>
        <v>3055755.15</v>
      </c>
      <c r="D48" s="12">
        <f t="shared" si="5"/>
        <v>2913952.85</v>
      </c>
      <c r="E48" s="12">
        <f t="shared" si="5"/>
        <v>2592403.6</v>
      </c>
      <c r="F48" s="12">
        <f t="shared" si="5"/>
        <v>2398388.44</v>
      </c>
      <c r="G48" s="12">
        <f t="shared" si="5"/>
        <v>2500608.31</v>
      </c>
      <c r="H48" s="12">
        <f t="shared" si="5"/>
        <v>3363992.31</v>
      </c>
      <c r="I48" s="12">
        <f t="shared" si="5"/>
        <v>3430540.46</v>
      </c>
      <c r="J48" s="12">
        <f t="shared" si="5"/>
        <v>3481010.3</v>
      </c>
      <c r="K48" s="12">
        <f t="shared" si="5"/>
        <v>3354757.02</v>
      </c>
      <c r="L48" s="12">
        <f t="shared" si="5"/>
        <v>3411416.97</v>
      </c>
      <c r="M48" s="12">
        <f t="shared" si="5"/>
        <v>4558546.85</v>
      </c>
      <c r="N48" s="12">
        <f t="shared" si="5"/>
        <v>4595793.37</v>
      </c>
    </row>
    <row r="49" ht="15.75" customHeight="1">
      <c r="A49" s="7" t="s">
        <v>59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5.75" customHeight="1">
      <c r="A50" s="7" t="s">
        <v>60</v>
      </c>
      <c r="B50" s="10">
        <v>0.0</v>
      </c>
      <c r="C50" s="10">
        <v>0.0</v>
      </c>
      <c r="D50" s="10">
        <v>0.0</v>
      </c>
      <c r="E50" s="10">
        <v>0.0</v>
      </c>
      <c r="F50" s="10">
        <v>0.0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</row>
    <row r="51" ht="15.75" customHeight="1">
      <c r="A51" s="7" t="s">
        <v>61</v>
      </c>
      <c r="B51" s="10">
        <v>0.0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</row>
    <row r="52" ht="15.75" customHeight="1">
      <c r="A52" s="7" t="s">
        <v>62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5.75" customHeight="1">
      <c r="A53" s="7" t="s">
        <v>63</v>
      </c>
      <c r="B53" s="10">
        <v>255401.53</v>
      </c>
      <c r="C53" s="10">
        <v>255401.53</v>
      </c>
      <c r="D53" s="10">
        <v>255401.53</v>
      </c>
      <c r="E53" s="10">
        <v>256378.7</v>
      </c>
      <c r="F53" s="10">
        <v>256378.7</v>
      </c>
      <c r="G53" s="10">
        <v>256378.7</v>
      </c>
      <c r="H53" s="10">
        <v>256378.7</v>
      </c>
      <c r="I53" s="10">
        <v>242120.88</v>
      </c>
      <c r="J53" s="10">
        <v>220842.72</v>
      </c>
      <c r="K53" s="10">
        <v>68958.25</v>
      </c>
      <c r="L53" s="10">
        <v>68958.25</v>
      </c>
      <c r="M53" s="10">
        <v>68958.25</v>
      </c>
      <c r="N53" s="10">
        <v>68958.25</v>
      </c>
    </row>
    <row r="54" ht="15.75" customHeight="1">
      <c r="A54" s="7" t="s">
        <v>64</v>
      </c>
      <c r="B54" s="10">
        <v>-220554.43</v>
      </c>
      <c r="C54" s="10">
        <v>-220554.43</v>
      </c>
      <c r="D54" s="10">
        <v>-220554.43</v>
      </c>
      <c r="E54" s="10">
        <v>-224787.57</v>
      </c>
      <c r="F54" s="10">
        <v>-224787.57</v>
      </c>
      <c r="G54" s="10">
        <v>-224787.57</v>
      </c>
      <c r="H54" s="10">
        <v>-229727.72</v>
      </c>
      <c r="I54" s="10">
        <v>-216558.44</v>
      </c>
      <c r="J54" s="10">
        <v>-195917.46</v>
      </c>
      <c r="K54" s="10">
        <v>-54720.0</v>
      </c>
      <c r="L54" s="10">
        <v>-54720.0</v>
      </c>
      <c r="M54" s="10">
        <v>-54720.0</v>
      </c>
      <c r="N54" s="10">
        <v>-55894.62</v>
      </c>
    </row>
    <row r="55" ht="15.75" customHeight="1">
      <c r="A55" s="7" t="s">
        <v>65</v>
      </c>
      <c r="B55" s="10">
        <v>84738.6</v>
      </c>
      <c r="C55" s="10">
        <v>84738.6</v>
      </c>
      <c r="D55" s="10">
        <v>84738.6</v>
      </c>
      <c r="E55" s="10">
        <v>84738.6</v>
      </c>
      <c r="F55" s="10">
        <v>84738.6</v>
      </c>
      <c r="G55" s="10">
        <v>84738.6</v>
      </c>
      <c r="H55" s="10">
        <v>84738.6</v>
      </c>
      <c r="I55" s="10">
        <v>84738.6</v>
      </c>
      <c r="J55" s="10">
        <v>84738.6</v>
      </c>
      <c r="K55" s="10">
        <v>32544.700000000004</v>
      </c>
      <c r="L55" s="10">
        <v>32544.700000000004</v>
      </c>
      <c r="M55" s="10">
        <v>32544.700000000004</v>
      </c>
      <c r="N55" s="10">
        <v>32544.700000000004</v>
      </c>
    </row>
    <row r="56" ht="15.75" customHeight="1">
      <c r="A56" s="7" t="s">
        <v>66</v>
      </c>
      <c r="B56" s="10">
        <v>-68889.84999999999</v>
      </c>
      <c r="C56" s="10">
        <v>-68889.84999999999</v>
      </c>
      <c r="D56" s="10">
        <v>-68889.84999999999</v>
      </c>
      <c r="E56" s="10">
        <v>-71027.24999999999</v>
      </c>
      <c r="F56" s="10">
        <v>-71027.24999999999</v>
      </c>
      <c r="G56" s="10">
        <v>-71027.24999999999</v>
      </c>
      <c r="H56" s="10">
        <v>-74484.59999999999</v>
      </c>
      <c r="I56" s="10">
        <v>-74484.59999999999</v>
      </c>
      <c r="J56" s="10">
        <v>-74484.59999999999</v>
      </c>
      <c r="K56" s="10">
        <v>-28396.999999999993</v>
      </c>
      <c r="L56" s="10">
        <v>-28396.999999999993</v>
      </c>
      <c r="M56" s="10">
        <v>-28396.999999999993</v>
      </c>
      <c r="N56" s="10">
        <v>-28754.559999999994</v>
      </c>
    </row>
    <row r="57" ht="15.75" customHeight="1">
      <c r="A57" s="7" t="s">
        <v>67</v>
      </c>
      <c r="B57" s="10">
        <v>1121823.01</v>
      </c>
      <c r="C57" s="10">
        <v>1121823.01</v>
      </c>
      <c r="D57" s="10">
        <v>1121823.01</v>
      </c>
      <c r="E57" s="10">
        <v>1121823.01</v>
      </c>
      <c r="F57" s="10">
        <v>1121823.01</v>
      </c>
      <c r="G57" s="10">
        <v>1121823.01</v>
      </c>
      <c r="H57" s="10">
        <v>1121823.01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</row>
    <row r="58" ht="15.75" customHeight="1">
      <c r="A58" s="7" t="s">
        <v>68</v>
      </c>
      <c r="B58" s="10">
        <v>-766013.7100000001</v>
      </c>
      <c r="C58" s="10">
        <v>-766013.7100000001</v>
      </c>
      <c r="D58" s="10">
        <v>-766013.7100000001</v>
      </c>
      <c r="E58" s="10">
        <v>-769663.8800000001</v>
      </c>
      <c r="F58" s="10">
        <v>-769663.8800000001</v>
      </c>
      <c r="G58" s="10">
        <v>-769663.8800000001</v>
      </c>
      <c r="H58" s="10">
        <v>-773314.0500000002</v>
      </c>
      <c r="I58" s="10">
        <v>-1.1641532182693481E-10</v>
      </c>
      <c r="J58" s="10">
        <v>-1.1641532182693481E-10</v>
      </c>
      <c r="K58" s="10">
        <v>-1.1641532182693481E-10</v>
      </c>
      <c r="L58" s="10">
        <v>-1.1641532182693481E-10</v>
      </c>
      <c r="M58" s="10">
        <v>-1.1641532182693481E-10</v>
      </c>
      <c r="N58" s="10">
        <v>-1.1641532182693481E-10</v>
      </c>
    </row>
    <row r="59" ht="15.75" customHeight="1">
      <c r="A59" s="7" t="s">
        <v>69</v>
      </c>
      <c r="B59" s="10">
        <v>9972.79</v>
      </c>
      <c r="C59" s="10">
        <v>9972.79</v>
      </c>
      <c r="D59" s="10">
        <v>9972.79</v>
      </c>
      <c r="E59" s="10">
        <v>9972.79</v>
      </c>
      <c r="F59" s="10">
        <v>9972.79</v>
      </c>
      <c r="G59" s="10">
        <v>9972.79</v>
      </c>
      <c r="H59" s="10">
        <v>9972.79</v>
      </c>
      <c r="I59" s="10">
        <v>9972.79</v>
      </c>
      <c r="J59" s="10">
        <v>9972.79</v>
      </c>
      <c r="K59" s="10">
        <v>348.5</v>
      </c>
      <c r="L59" s="10">
        <v>348.5</v>
      </c>
      <c r="M59" s="10">
        <v>348.5</v>
      </c>
      <c r="N59" s="10">
        <v>348.5</v>
      </c>
    </row>
    <row r="60" ht="15.75" customHeight="1">
      <c r="A60" s="7" t="s">
        <v>70</v>
      </c>
      <c r="B60" s="10">
        <v>-9934.069999999998</v>
      </c>
      <c r="C60" s="10">
        <v>-9934.069999999998</v>
      </c>
      <c r="D60" s="10">
        <v>-9934.069999999998</v>
      </c>
      <c r="E60" s="10">
        <v>-9939.879999999997</v>
      </c>
      <c r="F60" s="10">
        <v>-9939.879999999997</v>
      </c>
      <c r="G60" s="10">
        <v>-9939.879999999997</v>
      </c>
      <c r="H60" s="10">
        <v>-9945.679999999997</v>
      </c>
      <c r="I60" s="10">
        <v>-9945.679999999997</v>
      </c>
      <c r="J60" s="10">
        <v>-9945.679999999997</v>
      </c>
      <c r="K60" s="10">
        <v>-326.99999999999636</v>
      </c>
      <c r="L60" s="10">
        <v>-326.99999999999636</v>
      </c>
      <c r="M60" s="10">
        <v>-326.99999999999636</v>
      </c>
      <c r="N60" s="10">
        <v>-332.32999999999635</v>
      </c>
    </row>
    <row r="61" ht="15.75" customHeight="1">
      <c r="A61" s="7" t="s">
        <v>71</v>
      </c>
      <c r="B61" s="10">
        <v>-98648.34999999999</v>
      </c>
      <c r="C61" s="10">
        <v>-98648.34999999999</v>
      </c>
      <c r="D61" s="10">
        <v>-98648.34999999999</v>
      </c>
      <c r="E61" s="10">
        <v>-102171.49999999999</v>
      </c>
      <c r="F61" s="10">
        <v>-102171.49999999999</v>
      </c>
      <c r="G61" s="10">
        <v>-102171.49999999999</v>
      </c>
      <c r="H61" s="10">
        <v>-105694.65999999999</v>
      </c>
      <c r="I61" s="10">
        <v>-105694.65999999999</v>
      </c>
      <c r="J61" s="10">
        <v>-105694.65999999999</v>
      </c>
      <c r="K61" s="10">
        <v>-109217.99999999999</v>
      </c>
      <c r="L61" s="10">
        <v>-109217.99999999999</v>
      </c>
      <c r="M61" s="10">
        <v>-109217.99999999999</v>
      </c>
      <c r="N61" s="10">
        <v>-112741.15999999999</v>
      </c>
    </row>
    <row r="62" ht="15.75" customHeight="1">
      <c r="A62" s="7" t="s">
        <v>72</v>
      </c>
      <c r="B62" s="10">
        <v>-3572.9500000000003</v>
      </c>
      <c r="C62" s="10">
        <v>-3572.9500000000003</v>
      </c>
      <c r="D62" s="10">
        <v>-3572.9500000000003</v>
      </c>
      <c r="E62" s="10">
        <v>-3696.15</v>
      </c>
      <c r="F62" s="10">
        <v>-3696.15</v>
      </c>
      <c r="G62" s="10">
        <v>-3696.15</v>
      </c>
      <c r="H62" s="10">
        <v>-3819.36</v>
      </c>
      <c r="I62" s="10">
        <v>-3819.36</v>
      </c>
      <c r="J62" s="10">
        <v>-3819.36</v>
      </c>
      <c r="K62" s="10">
        <v>-3943.0</v>
      </c>
      <c r="L62" s="10">
        <v>-3943.0</v>
      </c>
      <c r="M62" s="10">
        <v>-3943.0</v>
      </c>
      <c r="N62" s="10">
        <v>-4066.21</v>
      </c>
    </row>
    <row r="63" ht="15.75" customHeight="1">
      <c r="A63" s="7" t="s">
        <v>73</v>
      </c>
      <c r="B63" s="10">
        <v>211389.37</v>
      </c>
      <c r="C63" s="10">
        <v>211389.37</v>
      </c>
      <c r="D63" s="10">
        <v>211389.37</v>
      </c>
      <c r="E63" s="10">
        <v>211389.37</v>
      </c>
      <c r="F63" s="10">
        <v>211389.37</v>
      </c>
      <c r="G63" s="10">
        <v>211389.37</v>
      </c>
      <c r="H63" s="10">
        <v>211389.37</v>
      </c>
      <c r="I63" s="10">
        <v>211389.37</v>
      </c>
      <c r="J63" s="10">
        <v>211389.37</v>
      </c>
      <c r="K63" s="10">
        <v>211389.37</v>
      </c>
      <c r="L63" s="10">
        <v>211389.37</v>
      </c>
      <c r="M63" s="10">
        <v>211389.37</v>
      </c>
      <c r="N63" s="10">
        <v>211389.37</v>
      </c>
    </row>
    <row r="64" ht="15.75" customHeight="1">
      <c r="A64" s="7" t="s">
        <v>74</v>
      </c>
      <c r="B64" s="10">
        <v>7392.25</v>
      </c>
      <c r="C64" s="10">
        <v>7392.25</v>
      </c>
      <c r="D64" s="10">
        <v>7392.25</v>
      </c>
      <c r="E64" s="10">
        <v>7392.25</v>
      </c>
      <c r="F64" s="10">
        <v>7392.25</v>
      </c>
      <c r="G64" s="10">
        <v>7392.25</v>
      </c>
      <c r="H64" s="10">
        <v>7392.25</v>
      </c>
      <c r="I64" s="10">
        <v>7392.25</v>
      </c>
      <c r="J64" s="10">
        <v>7392.25</v>
      </c>
      <c r="K64" s="10">
        <v>7392.25</v>
      </c>
      <c r="L64" s="10">
        <v>7392.25</v>
      </c>
      <c r="M64" s="10">
        <v>7392.25</v>
      </c>
      <c r="N64" s="10">
        <v>7392.25</v>
      </c>
    </row>
    <row r="65" ht="15.75" customHeight="1">
      <c r="A65" s="11" t="s">
        <v>75</v>
      </c>
      <c r="B65" s="12">
        <f t="shared" ref="B65:N65" si="6">B52+B53+B54+B55+B56+B57+B58+B59+B60+B61+B62+B63+B64</f>
        <v>523104.19</v>
      </c>
      <c r="C65" s="12">
        <f t="shared" si="6"/>
        <v>523104.19</v>
      </c>
      <c r="D65" s="12">
        <f t="shared" si="6"/>
        <v>523104.19</v>
      </c>
      <c r="E65" s="12">
        <f t="shared" si="6"/>
        <v>510408.49</v>
      </c>
      <c r="F65" s="12">
        <f t="shared" si="6"/>
        <v>510408.49</v>
      </c>
      <c r="G65" s="12">
        <f t="shared" si="6"/>
        <v>510408.49</v>
      </c>
      <c r="H65" s="12">
        <f t="shared" si="6"/>
        <v>494708.65</v>
      </c>
      <c r="I65" s="12">
        <f t="shared" si="6"/>
        <v>145111.15</v>
      </c>
      <c r="J65" s="12">
        <f t="shared" si="6"/>
        <v>144473.97</v>
      </c>
      <c r="K65" s="12">
        <f t="shared" si="6"/>
        <v>124028.07</v>
      </c>
      <c r="L65" s="12">
        <f t="shared" si="6"/>
        <v>124028.07</v>
      </c>
      <c r="M65" s="12">
        <f t="shared" si="6"/>
        <v>124028.07</v>
      </c>
      <c r="N65" s="12">
        <f t="shared" si="6"/>
        <v>118844.19</v>
      </c>
    </row>
    <row r="66" ht="15.75" customHeight="1">
      <c r="A66" s="11" t="s">
        <v>76</v>
      </c>
      <c r="B66" s="12">
        <f t="shared" ref="B66:N66" si="7">B49+B50+B51+B65</f>
        <v>523104.19</v>
      </c>
      <c r="C66" s="12">
        <f t="shared" si="7"/>
        <v>523104.19</v>
      </c>
      <c r="D66" s="12">
        <f t="shared" si="7"/>
        <v>523104.19</v>
      </c>
      <c r="E66" s="12">
        <f t="shared" si="7"/>
        <v>510408.49</v>
      </c>
      <c r="F66" s="12">
        <f t="shared" si="7"/>
        <v>510408.49</v>
      </c>
      <c r="G66" s="12">
        <f t="shared" si="7"/>
        <v>510408.49</v>
      </c>
      <c r="H66" s="12">
        <f t="shared" si="7"/>
        <v>494708.65</v>
      </c>
      <c r="I66" s="12">
        <f t="shared" si="7"/>
        <v>145111.15</v>
      </c>
      <c r="J66" s="12">
        <f t="shared" si="7"/>
        <v>144473.97</v>
      </c>
      <c r="K66" s="12">
        <f t="shared" si="7"/>
        <v>124028.07</v>
      </c>
      <c r="L66" s="12">
        <f t="shared" si="7"/>
        <v>124028.07</v>
      </c>
      <c r="M66" s="12">
        <f t="shared" si="7"/>
        <v>124028.07</v>
      </c>
      <c r="N66" s="12">
        <f t="shared" si="7"/>
        <v>118844.19</v>
      </c>
    </row>
    <row r="67" ht="15.75" customHeight="1">
      <c r="A67" s="7" t="s">
        <v>77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5.75" customHeight="1">
      <c r="A68" s="7" t="s">
        <v>78</v>
      </c>
      <c r="B68" s="10">
        <v>7.275957614183426E-12</v>
      </c>
      <c r="C68" s="10">
        <v>7.275957614183426E-12</v>
      </c>
      <c r="D68" s="10">
        <v>7.275957614183426E-12</v>
      </c>
      <c r="E68" s="10">
        <v>7.275957614183426E-12</v>
      </c>
      <c r="F68" s="10">
        <v>7.275957614183426E-12</v>
      </c>
      <c r="G68" s="10">
        <v>7.275957614183426E-12</v>
      </c>
      <c r="H68" s="10">
        <v>7.275957614183426E-12</v>
      </c>
      <c r="I68" s="10">
        <v>7.275957614183426E-12</v>
      </c>
      <c r="J68" s="10">
        <v>7.275957614183426E-12</v>
      </c>
      <c r="K68" s="10">
        <v>7.275957614183426E-12</v>
      </c>
      <c r="L68" s="10">
        <v>7.275957614183426E-12</v>
      </c>
      <c r="M68" s="10">
        <v>7.275957614183426E-12</v>
      </c>
      <c r="N68" s="10">
        <v>7.275957614183426E-12</v>
      </c>
    </row>
    <row r="69" ht="15.75" customHeight="1">
      <c r="A69" s="11" t="s">
        <v>79</v>
      </c>
      <c r="B69" s="12">
        <f t="shared" ref="B69:N69" si="8">B67+B68</f>
        <v>0</v>
      </c>
      <c r="C69" s="12">
        <f t="shared" si="8"/>
        <v>0</v>
      </c>
      <c r="D69" s="12">
        <f t="shared" si="8"/>
        <v>0</v>
      </c>
      <c r="E69" s="12">
        <f t="shared" si="8"/>
        <v>0</v>
      </c>
      <c r="F69" s="12">
        <f t="shared" si="8"/>
        <v>0</v>
      </c>
      <c r="G69" s="12">
        <f t="shared" si="8"/>
        <v>0</v>
      </c>
      <c r="H69" s="12">
        <f t="shared" si="8"/>
        <v>0</v>
      </c>
      <c r="I69" s="12">
        <f t="shared" si="8"/>
        <v>0</v>
      </c>
      <c r="J69" s="12">
        <f t="shared" si="8"/>
        <v>0</v>
      </c>
      <c r="K69" s="12">
        <f t="shared" si="8"/>
        <v>0</v>
      </c>
      <c r="L69" s="12">
        <f t="shared" si="8"/>
        <v>0</v>
      </c>
      <c r="M69" s="12">
        <f t="shared" si="8"/>
        <v>0</v>
      </c>
      <c r="N69" s="12">
        <f t="shared" si="8"/>
        <v>0</v>
      </c>
    </row>
    <row r="70" ht="15.75" customHeight="1">
      <c r="A70" s="11" t="s">
        <v>80</v>
      </c>
      <c r="B70" s="12">
        <f t="shared" ref="B70:N70" si="9">B48+B66+B69</f>
        <v>3865642.47</v>
      </c>
      <c r="C70" s="12">
        <f t="shared" si="9"/>
        <v>3578859.34</v>
      </c>
      <c r="D70" s="12">
        <f t="shared" si="9"/>
        <v>3437057.04</v>
      </c>
      <c r="E70" s="12">
        <f t="shared" si="9"/>
        <v>3102812.09</v>
      </c>
      <c r="F70" s="12">
        <f t="shared" si="9"/>
        <v>2908796.93</v>
      </c>
      <c r="G70" s="12">
        <f t="shared" si="9"/>
        <v>3011016.8</v>
      </c>
      <c r="H70" s="12">
        <f t="shared" si="9"/>
        <v>3858700.96</v>
      </c>
      <c r="I70" s="12">
        <f t="shared" si="9"/>
        <v>3575651.61</v>
      </c>
      <c r="J70" s="12">
        <f t="shared" si="9"/>
        <v>3625484.27</v>
      </c>
      <c r="K70" s="12">
        <f t="shared" si="9"/>
        <v>3478785.09</v>
      </c>
      <c r="L70" s="12">
        <f t="shared" si="9"/>
        <v>3535445.04</v>
      </c>
      <c r="M70" s="12">
        <f t="shared" si="9"/>
        <v>4682574.92</v>
      </c>
      <c r="N70" s="12">
        <f t="shared" si="9"/>
        <v>4714637.56</v>
      </c>
    </row>
    <row r="71" ht="15.75" customHeight="1">
      <c r="A71" s="7" t="s">
        <v>81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5.75" customHeight="1">
      <c r="A72" s="7" t="s">
        <v>82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5.75" customHeight="1">
      <c r="A73" s="7" t="s">
        <v>83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5.75" customHeight="1">
      <c r="A74" s="7" t="s">
        <v>84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5.75" customHeight="1">
      <c r="A75" s="7" t="s">
        <v>85</v>
      </c>
      <c r="B75" s="10">
        <v>447998.13999999996</v>
      </c>
      <c r="C75" s="10">
        <v>198611.49999999994</v>
      </c>
      <c r="D75" s="10">
        <v>200415.12999999995</v>
      </c>
      <c r="E75" s="10">
        <v>131599.27999999994</v>
      </c>
      <c r="F75" s="10">
        <v>162771.40999999995</v>
      </c>
      <c r="G75" s="10">
        <v>283170.56999999995</v>
      </c>
      <c r="H75" s="10">
        <v>372359.5399999999</v>
      </c>
      <c r="I75" s="10">
        <v>569728.2899999999</v>
      </c>
      <c r="J75" s="10">
        <v>566500.22</v>
      </c>
      <c r="K75" s="10">
        <v>688728.19</v>
      </c>
      <c r="L75" s="10">
        <v>800564.24</v>
      </c>
      <c r="M75" s="10">
        <v>398529.02</v>
      </c>
      <c r="N75" s="10">
        <v>578921.28</v>
      </c>
    </row>
    <row r="76" ht="15.75" customHeight="1">
      <c r="A76" s="11" t="s">
        <v>86</v>
      </c>
      <c r="B76" s="12">
        <f t="shared" ref="B76:N76" si="10">B74+B75</f>
        <v>447998.14</v>
      </c>
      <c r="C76" s="12">
        <f t="shared" si="10"/>
        <v>198611.5</v>
      </c>
      <c r="D76" s="12">
        <f t="shared" si="10"/>
        <v>200415.13</v>
      </c>
      <c r="E76" s="12">
        <f t="shared" si="10"/>
        <v>131599.28</v>
      </c>
      <c r="F76" s="12">
        <f t="shared" si="10"/>
        <v>162771.41</v>
      </c>
      <c r="G76" s="12">
        <f t="shared" si="10"/>
        <v>283170.57</v>
      </c>
      <c r="H76" s="12">
        <f t="shared" si="10"/>
        <v>372359.54</v>
      </c>
      <c r="I76" s="12">
        <f t="shared" si="10"/>
        <v>569728.29</v>
      </c>
      <c r="J76" s="12">
        <f t="shared" si="10"/>
        <v>566500.22</v>
      </c>
      <c r="K76" s="12">
        <f t="shared" si="10"/>
        <v>688728.19</v>
      </c>
      <c r="L76" s="12">
        <f t="shared" si="10"/>
        <v>800564.24</v>
      </c>
      <c r="M76" s="12">
        <f t="shared" si="10"/>
        <v>398529.02</v>
      </c>
      <c r="N76" s="12">
        <f t="shared" si="10"/>
        <v>578921.28</v>
      </c>
    </row>
    <row r="77" ht="15.75" customHeight="1">
      <c r="A77" s="7" t="s">
        <v>87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5.75" customHeight="1">
      <c r="A78" s="9" t="s">
        <v>88</v>
      </c>
      <c r="B78" s="10">
        <v>24008.510000000002</v>
      </c>
      <c r="C78" s="10">
        <v>15589.750000000002</v>
      </c>
      <c r="D78" s="10">
        <v>21064.090000000004</v>
      </c>
      <c r="E78" s="10">
        <v>17320.460000000003</v>
      </c>
      <c r="F78" s="10">
        <v>23087.86</v>
      </c>
      <c r="G78" s="10">
        <v>25776.5</v>
      </c>
      <c r="H78" s="10">
        <v>22716.95</v>
      </c>
      <c r="I78" s="10">
        <v>11418.460000000001</v>
      </c>
      <c r="J78" s="10">
        <v>1.8189894035458565E-12</v>
      </c>
      <c r="K78" s="10">
        <v>1.8189894035458565E-12</v>
      </c>
      <c r="L78" s="10">
        <v>212.50000000000182</v>
      </c>
      <c r="M78" s="10">
        <v>190.7900000000018</v>
      </c>
      <c r="N78" s="10">
        <v>1.8189894035458565E-12</v>
      </c>
    </row>
    <row r="79" ht="15.75" customHeight="1">
      <c r="A79" s="9" t="s">
        <v>89</v>
      </c>
      <c r="B79" s="10">
        <v>32447.37</v>
      </c>
      <c r="C79" s="10">
        <v>43723.15</v>
      </c>
      <c r="D79" s="10">
        <v>29120.15</v>
      </c>
      <c r="E79" s="10">
        <v>31584.010000000002</v>
      </c>
      <c r="F79" s="10">
        <v>22513.520000000004</v>
      </c>
      <c r="G79" s="10">
        <v>16491.310000000005</v>
      </c>
      <c r="H79" s="10">
        <v>20805.170000000006</v>
      </c>
      <c r="I79" s="10">
        <v>33404.770000000004</v>
      </c>
      <c r="J79" s="10">
        <v>41858.700000000004</v>
      </c>
      <c r="K79" s="10">
        <v>54315.72</v>
      </c>
      <c r="L79" s="10">
        <v>38671.25</v>
      </c>
      <c r="M79" s="10">
        <v>33567.6</v>
      </c>
      <c r="N79" s="10">
        <v>10239.41</v>
      </c>
    </row>
    <row r="80" ht="15.75" customHeight="1">
      <c r="A80" s="9" t="s">
        <v>90</v>
      </c>
      <c r="B80" s="10">
        <v>10312.67</v>
      </c>
      <c r="C80" s="10">
        <v>8164.6</v>
      </c>
      <c r="D80" s="10">
        <v>14629.130000000001</v>
      </c>
      <c r="E80" s="10">
        <v>12636.44</v>
      </c>
      <c r="F80" s="10">
        <v>546.6000000000004</v>
      </c>
      <c r="G80" s="10">
        <v>-13705.05</v>
      </c>
      <c r="H80" s="10">
        <v>-27827.39</v>
      </c>
      <c r="I80" s="10">
        <v>-32977.32</v>
      </c>
      <c r="J80" s="10">
        <v>6529.970000000001</v>
      </c>
      <c r="K80" s="10">
        <v>12748.62</v>
      </c>
      <c r="L80" s="10">
        <v>22246.89</v>
      </c>
      <c r="M80" s="10">
        <v>31815.97</v>
      </c>
      <c r="N80" s="10">
        <v>37219.8</v>
      </c>
    </row>
    <row r="81" ht="15.75" customHeight="1">
      <c r="A81" s="9" t="s">
        <v>91</v>
      </c>
      <c r="B81" s="10">
        <v>0.0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</row>
    <row r="82" ht="15.75" customHeight="1">
      <c r="A82" s="11" t="s">
        <v>92</v>
      </c>
      <c r="B82" s="12">
        <f t="shared" ref="B82:N82" si="11">B77+B78+B79+B80+B81</f>
        <v>66768.55</v>
      </c>
      <c r="C82" s="12">
        <f t="shared" si="11"/>
        <v>67477.5</v>
      </c>
      <c r="D82" s="12">
        <f t="shared" si="11"/>
        <v>64813.37</v>
      </c>
      <c r="E82" s="12">
        <f t="shared" si="11"/>
        <v>61540.91</v>
      </c>
      <c r="F82" s="12">
        <f t="shared" si="11"/>
        <v>46147.98</v>
      </c>
      <c r="G82" s="12">
        <f t="shared" si="11"/>
        <v>28562.76</v>
      </c>
      <c r="H82" s="12">
        <f t="shared" si="11"/>
        <v>15694.73</v>
      </c>
      <c r="I82" s="12">
        <f t="shared" si="11"/>
        <v>11845.91</v>
      </c>
      <c r="J82" s="12">
        <f t="shared" si="11"/>
        <v>48388.67</v>
      </c>
      <c r="K82" s="12">
        <f t="shared" si="11"/>
        <v>67064.34</v>
      </c>
      <c r="L82" s="12">
        <f t="shared" si="11"/>
        <v>61130.64</v>
      </c>
      <c r="M82" s="12">
        <f t="shared" si="11"/>
        <v>65574.36</v>
      </c>
      <c r="N82" s="12">
        <f t="shared" si="11"/>
        <v>47459.21</v>
      </c>
    </row>
    <row r="83" ht="15.75" customHeight="1">
      <c r="A83" s="7" t="s">
        <v>93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5.75" customHeight="1">
      <c r="A84" s="7" t="s">
        <v>94</v>
      </c>
      <c r="B84" s="10">
        <v>8657.79</v>
      </c>
      <c r="C84" s="10">
        <v>8313.1</v>
      </c>
      <c r="D84" s="10">
        <v>8122.64</v>
      </c>
      <c r="E84" s="10">
        <v>8065.47</v>
      </c>
      <c r="F84" s="10">
        <v>7847.150000000001</v>
      </c>
      <c r="G84" s="10">
        <v>7748.080000000001</v>
      </c>
      <c r="H84" s="10">
        <v>7682.27</v>
      </c>
      <c r="I84" s="10">
        <v>7729.650000000001</v>
      </c>
      <c r="J84" s="10">
        <v>7656.64</v>
      </c>
      <c r="K84" s="10">
        <v>8537.53</v>
      </c>
      <c r="L84" s="10">
        <v>8517.92</v>
      </c>
      <c r="M84" s="10">
        <v>8699.78</v>
      </c>
      <c r="N84" s="10">
        <v>8674.27</v>
      </c>
    </row>
    <row r="85" ht="15.75" customHeight="1">
      <c r="A85" s="7" t="s">
        <v>95</v>
      </c>
      <c r="B85" s="10">
        <v>65844.30999999998</v>
      </c>
      <c r="C85" s="10">
        <v>97940.73999999999</v>
      </c>
      <c r="D85" s="10">
        <v>83559.54999999999</v>
      </c>
      <c r="E85" s="10">
        <v>111855.84999999999</v>
      </c>
      <c r="F85" s="10">
        <v>108011.85999999999</v>
      </c>
      <c r="G85" s="10">
        <v>281550.93999999994</v>
      </c>
      <c r="H85" s="10">
        <v>203294.10999999993</v>
      </c>
      <c r="I85" s="10">
        <v>136535.8399999999</v>
      </c>
      <c r="J85" s="10">
        <v>205005.90999999992</v>
      </c>
      <c r="K85" s="10">
        <v>247907.13999999993</v>
      </c>
      <c r="L85" s="10">
        <v>299546.3999999999</v>
      </c>
      <c r="M85" s="10">
        <v>294094.6099999999</v>
      </c>
      <c r="N85" s="10">
        <v>194362.99999999994</v>
      </c>
    </row>
    <row r="86" ht="15.75" customHeight="1">
      <c r="A86" s="7" t="s">
        <v>96</v>
      </c>
      <c r="B86" s="10">
        <v>74877.45000000001</v>
      </c>
      <c r="C86" s="10">
        <v>100927.15000000001</v>
      </c>
      <c r="D86" s="10">
        <v>145079.0</v>
      </c>
      <c r="E86" s="10">
        <v>147385.21</v>
      </c>
      <c r="F86" s="10">
        <v>100881.40999999999</v>
      </c>
      <c r="G86" s="10">
        <v>125748.59999999999</v>
      </c>
      <c r="H86" s="10">
        <v>156916.05</v>
      </c>
      <c r="I86" s="10">
        <v>186167.5</v>
      </c>
      <c r="J86" s="10">
        <v>207301.08000000002</v>
      </c>
      <c r="K86" s="10">
        <v>188228.80000000002</v>
      </c>
      <c r="L86" s="10">
        <v>222220.65000000002</v>
      </c>
      <c r="M86" s="10">
        <v>73931.70000000001</v>
      </c>
      <c r="N86" s="10">
        <v>105334.63</v>
      </c>
    </row>
    <row r="87" ht="15.75" customHeight="1">
      <c r="A87" s="7" t="s">
        <v>97</v>
      </c>
      <c r="B87" s="10">
        <v>-130.48999999999756</v>
      </c>
      <c r="C87" s="10">
        <v>-204.84999999999758</v>
      </c>
      <c r="D87" s="10">
        <v>61.90000000000242</v>
      </c>
      <c r="E87" s="10">
        <v>5.170000000002425</v>
      </c>
      <c r="F87" s="10">
        <v>-28.049999999997574</v>
      </c>
      <c r="G87" s="10">
        <v>-39.88999999999757</v>
      </c>
      <c r="H87" s="10">
        <v>-31.88999999999757</v>
      </c>
      <c r="I87" s="10">
        <v>-23.70999999999757</v>
      </c>
      <c r="J87" s="10">
        <v>11434.510000000002</v>
      </c>
      <c r="K87" s="10">
        <v>10365.690000000002</v>
      </c>
      <c r="L87" s="10">
        <v>21.50000000000182</v>
      </c>
      <c r="M87" s="10">
        <v>293.86000000000183</v>
      </c>
      <c r="N87" s="10">
        <v>68.63000000000184</v>
      </c>
    </row>
    <row r="88" ht="15.75" customHeight="1">
      <c r="A88" s="7" t="s">
        <v>98</v>
      </c>
      <c r="B88" s="10">
        <v>1197.3000000000034</v>
      </c>
      <c r="C88" s="10">
        <v>1338.7800000000034</v>
      </c>
      <c r="D88" s="10">
        <v>7749.000000000004</v>
      </c>
      <c r="E88" s="10">
        <v>1375.470000000004</v>
      </c>
      <c r="F88" s="10">
        <v>-3.05999999999608</v>
      </c>
      <c r="G88" s="10">
        <v>3.919975455346503E-12</v>
      </c>
      <c r="H88" s="10">
        <v>3.919975455346503E-12</v>
      </c>
      <c r="I88" s="10">
        <v>3.919975455346503E-12</v>
      </c>
      <c r="J88" s="10">
        <v>6466.000000000004</v>
      </c>
      <c r="K88" s="10">
        <v>3.637978807091713E-12</v>
      </c>
      <c r="L88" s="10">
        <v>-74.79999999999636</v>
      </c>
      <c r="M88" s="10">
        <v>416.9000000000036</v>
      </c>
      <c r="N88" s="10">
        <v>171.05000000000362</v>
      </c>
    </row>
    <row r="89" ht="15.75" customHeight="1">
      <c r="A89" s="11" t="s">
        <v>99</v>
      </c>
      <c r="B89" s="12">
        <f t="shared" ref="B89:N89" si="12">B83+B84+B85+B86+B87+B88</f>
        <v>150446.36</v>
      </c>
      <c r="C89" s="12">
        <f t="shared" si="12"/>
        <v>208314.92</v>
      </c>
      <c r="D89" s="12">
        <f t="shared" si="12"/>
        <v>244572.09</v>
      </c>
      <c r="E89" s="12">
        <f t="shared" si="12"/>
        <v>268687.17</v>
      </c>
      <c r="F89" s="12">
        <f t="shared" si="12"/>
        <v>216709.31</v>
      </c>
      <c r="G89" s="12">
        <f t="shared" si="12"/>
        <v>415007.73</v>
      </c>
      <c r="H89" s="12">
        <f t="shared" si="12"/>
        <v>367860.54</v>
      </c>
      <c r="I89" s="12">
        <f t="shared" si="12"/>
        <v>330409.28</v>
      </c>
      <c r="J89" s="12">
        <f t="shared" si="12"/>
        <v>437864.14</v>
      </c>
      <c r="K89" s="12">
        <f t="shared" si="12"/>
        <v>455039.16</v>
      </c>
      <c r="L89" s="12">
        <f t="shared" si="12"/>
        <v>530231.67</v>
      </c>
      <c r="M89" s="12">
        <f t="shared" si="12"/>
        <v>377436.85</v>
      </c>
      <c r="N89" s="12">
        <f t="shared" si="12"/>
        <v>308611.58</v>
      </c>
    </row>
    <row r="90" ht="15.75" customHeight="1">
      <c r="A90" s="11" t="s">
        <v>100</v>
      </c>
      <c r="B90" s="12">
        <f t="shared" ref="B90:N90" si="13">B73+B76+B82+B89</f>
        <v>665213.05</v>
      </c>
      <c r="C90" s="12">
        <f t="shared" si="13"/>
        <v>474403.92</v>
      </c>
      <c r="D90" s="12">
        <f t="shared" si="13"/>
        <v>509800.59</v>
      </c>
      <c r="E90" s="12">
        <f t="shared" si="13"/>
        <v>461827.36</v>
      </c>
      <c r="F90" s="12">
        <f t="shared" si="13"/>
        <v>425628.7</v>
      </c>
      <c r="G90" s="12">
        <f t="shared" si="13"/>
        <v>726741.06</v>
      </c>
      <c r="H90" s="12">
        <f t="shared" si="13"/>
        <v>755914.81</v>
      </c>
      <c r="I90" s="12">
        <f t="shared" si="13"/>
        <v>911983.48</v>
      </c>
      <c r="J90" s="12">
        <f t="shared" si="13"/>
        <v>1052753.03</v>
      </c>
      <c r="K90" s="12">
        <f t="shared" si="13"/>
        <v>1210831.69</v>
      </c>
      <c r="L90" s="12">
        <f t="shared" si="13"/>
        <v>1391926.55</v>
      </c>
      <c r="M90" s="12">
        <f t="shared" si="13"/>
        <v>841540.23</v>
      </c>
      <c r="N90" s="12">
        <f t="shared" si="13"/>
        <v>934992.07</v>
      </c>
    </row>
    <row r="91" ht="15.75" customHeight="1">
      <c r="A91" s="7" t="s">
        <v>101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5.75" customHeight="1">
      <c r="A92" s="7" t="s">
        <v>102</v>
      </c>
      <c r="B92" s="10">
        <v>265000.0</v>
      </c>
      <c r="C92" s="10">
        <v>265000.0</v>
      </c>
      <c r="D92" s="10">
        <v>265000.0</v>
      </c>
      <c r="E92" s="10">
        <v>265000.0</v>
      </c>
      <c r="F92" s="10">
        <v>265000.0</v>
      </c>
      <c r="G92" s="10">
        <v>264980.53</v>
      </c>
      <c r="H92" s="10">
        <v>264495.47000000003</v>
      </c>
      <c r="I92" s="10">
        <v>264003.04000000004</v>
      </c>
      <c r="J92" s="10">
        <v>263493.72000000003</v>
      </c>
      <c r="K92" s="10">
        <v>263058.07</v>
      </c>
      <c r="L92" s="10">
        <v>262572.01</v>
      </c>
      <c r="M92" s="10">
        <v>262105.98</v>
      </c>
      <c r="N92" s="10">
        <v>261525.29</v>
      </c>
    </row>
    <row r="93" ht="15.75" customHeight="1">
      <c r="A93" s="7" t="s">
        <v>103</v>
      </c>
      <c r="B93" s="10">
        <v>3750.0</v>
      </c>
      <c r="C93" s="10">
        <v>0.0</v>
      </c>
      <c r="D93" s="10">
        <v>0.0</v>
      </c>
      <c r="E93" s="10">
        <v>0.0</v>
      </c>
      <c r="F93" s="10">
        <v>0.0</v>
      </c>
      <c r="G93" s="10">
        <v>0.0</v>
      </c>
      <c r="H93" s="10">
        <v>0.0</v>
      </c>
      <c r="I93" s="10">
        <v>0.0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</row>
    <row r="94" ht="15.75" customHeight="1">
      <c r="A94" s="7" t="s">
        <v>104</v>
      </c>
      <c r="B94" s="10">
        <v>0.0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</row>
    <row r="95" ht="15.75" customHeight="1">
      <c r="A95" s="7" t="s">
        <v>105</v>
      </c>
      <c r="B95" s="10">
        <v>0.0</v>
      </c>
      <c r="C95" s="10">
        <v>0.0</v>
      </c>
      <c r="D95" s="10">
        <v>0.0</v>
      </c>
      <c r="E95" s="10">
        <v>0.0</v>
      </c>
      <c r="F95" s="10">
        <v>0.0</v>
      </c>
      <c r="G95" s="10">
        <v>0.0</v>
      </c>
      <c r="H95" s="10">
        <v>0.0</v>
      </c>
      <c r="I95" s="10">
        <v>0.0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</row>
    <row r="96" ht="15.75" customHeight="1">
      <c r="A96" s="7" t="s">
        <v>106</v>
      </c>
      <c r="B96" s="10">
        <v>0.0</v>
      </c>
      <c r="C96" s="10">
        <v>0.0</v>
      </c>
      <c r="D96" s="10">
        <v>0.0</v>
      </c>
      <c r="E96" s="10">
        <v>0.0</v>
      </c>
      <c r="F96" s="10">
        <v>0.0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</row>
    <row r="97" ht="15.75" customHeight="1">
      <c r="A97" s="11" t="s">
        <v>107</v>
      </c>
      <c r="B97" s="12">
        <f t="shared" ref="B97:N97" si="14">B91+B92+B93+B94+B95+B96</f>
        <v>268750</v>
      </c>
      <c r="C97" s="12">
        <f t="shared" si="14"/>
        <v>265000</v>
      </c>
      <c r="D97" s="12">
        <f t="shared" si="14"/>
        <v>265000</v>
      </c>
      <c r="E97" s="12">
        <f t="shared" si="14"/>
        <v>265000</v>
      </c>
      <c r="F97" s="12">
        <f t="shared" si="14"/>
        <v>265000</v>
      </c>
      <c r="G97" s="12">
        <f t="shared" si="14"/>
        <v>264980.53</v>
      </c>
      <c r="H97" s="12">
        <f t="shared" si="14"/>
        <v>264495.47</v>
      </c>
      <c r="I97" s="12">
        <f t="shared" si="14"/>
        <v>264003.04</v>
      </c>
      <c r="J97" s="12">
        <f t="shared" si="14"/>
        <v>263493.72</v>
      </c>
      <c r="K97" s="12">
        <f t="shared" si="14"/>
        <v>263058.07</v>
      </c>
      <c r="L97" s="12">
        <f t="shared" si="14"/>
        <v>262572.01</v>
      </c>
      <c r="M97" s="12">
        <f t="shared" si="14"/>
        <v>262105.98</v>
      </c>
      <c r="N97" s="12">
        <f t="shared" si="14"/>
        <v>261525.29</v>
      </c>
    </row>
    <row r="98" ht="15.75" customHeight="1">
      <c r="A98" s="11" t="s">
        <v>108</v>
      </c>
      <c r="B98" s="12">
        <f t="shared" ref="B98:N98" si="15">B72+B90+B97</f>
        <v>933963.05</v>
      </c>
      <c r="C98" s="12">
        <f t="shared" si="15"/>
        <v>739403.92</v>
      </c>
      <c r="D98" s="12">
        <f t="shared" si="15"/>
        <v>774800.59</v>
      </c>
      <c r="E98" s="12">
        <f t="shared" si="15"/>
        <v>726827.36</v>
      </c>
      <c r="F98" s="12">
        <f t="shared" si="15"/>
        <v>690628.7</v>
      </c>
      <c r="G98" s="12">
        <f t="shared" si="15"/>
        <v>991721.59</v>
      </c>
      <c r="H98" s="12">
        <f t="shared" si="15"/>
        <v>1020410.28</v>
      </c>
      <c r="I98" s="12">
        <f t="shared" si="15"/>
        <v>1175986.52</v>
      </c>
      <c r="J98" s="12">
        <f t="shared" si="15"/>
        <v>1316246.75</v>
      </c>
      <c r="K98" s="12">
        <f t="shared" si="15"/>
        <v>1473889.76</v>
      </c>
      <c r="L98" s="12">
        <f t="shared" si="15"/>
        <v>1654498.56</v>
      </c>
      <c r="M98" s="12">
        <f t="shared" si="15"/>
        <v>1103646.21</v>
      </c>
      <c r="N98" s="12">
        <f t="shared" si="15"/>
        <v>1196517.36</v>
      </c>
    </row>
    <row r="99" ht="15.75" customHeight="1">
      <c r="A99" s="7" t="s">
        <v>109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5.75" customHeight="1">
      <c r="A100" s="7" t="s">
        <v>110</v>
      </c>
      <c r="B100" s="10">
        <v>1.1368683772161603E-13</v>
      </c>
      <c r="C100" s="10">
        <v>1.1368683772161603E-13</v>
      </c>
      <c r="D100" s="10">
        <v>1.1368683772161603E-13</v>
      </c>
      <c r="E100" s="10">
        <v>1.1368683772161603E-13</v>
      </c>
      <c r="F100" s="10">
        <v>1.1368683772161603E-13</v>
      </c>
      <c r="G100" s="10">
        <v>1.1368683772161603E-13</v>
      </c>
      <c r="H100" s="10">
        <v>1.1368683772161603E-13</v>
      </c>
      <c r="I100" s="10">
        <v>1.1368683772161603E-13</v>
      </c>
      <c r="J100" s="10">
        <v>1.1368683772161603E-13</v>
      </c>
      <c r="K100" s="10">
        <v>1.1368683772161603E-13</v>
      </c>
      <c r="L100" s="10">
        <v>1.1368683772161603E-13</v>
      </c>
      <c r="M100" s="10">
        <v>1.1368683772161603E-13</v>
      </c>
      <c r="N100" s="10">
        <v>1.1368683772161603E-13</v>
      </c>
    </row>
    <row r="101" ht="15.75" customHeight="1">
      <c r="A101" s="7" t="s">
        <v>111</v>
      </c>
      <c r="B101" s="10">
        <v>1431000.0</v>
      </c>
      <c r="C101" s="10">
        <v>1431000.0</v>
      </c>
      <c r="D101" s="10">
        <v>1431000.0</v>
      </c>
      <c r="E101" s="10">
        <v>1431000.0</v>
      </c>
      <c r="F101" s="10">
        <v>1431000.0</v>
      </c>
      <c r="G101" s="10">
        <v>1431000.0</v>
      </c>
      <c r="H101" s="10">
        <v>1431000.0</v>
      </c>
      <c r="I101" s="10">
        <v>1431000.0</v>
      </c>
      <c r="J101" s="10">
        <v>1431000.0</v>
      </c>
      <c r="K101" s="10">
        <v>1431000.0</v>
      </c>
      <c r="L101" s="10">
        <v>1431000.0</v>
      </c>
      <c r="M101" s="10">
        <v>1431000.0</v>
      </c>
      <c r="N101" s="10">
        <v>1431000.0</v>
      </c>
    </row>
    <row r="102" ht="15.75" customHeight="1">
      <c r="A102" s="7" t="s">
        <v>112</v>
      </c>
      <c r="B102" s="10">
        <v>3000022.0400000005</v>
      </c>
      <c r="C102" s="10">
        <v>3000022.0400000005</v>
      </c>
      <c r="D102" s="10">
        <v>3000022.0400000005</v>
      </c>
      <c r="E102" s="10">
        <v>3000022.0400000005</v>
      </c>
      <c r="F102" s="10">
        <v>3000022.0400000005</v>
      </c>
      <c r="G102" s="10">
        <v>3000022.0400000005</v>
      </c>
      <c r="H102" s="10">
        <v>3000022.0400000005</v>
      </c>
      <c r="I102" s="10">
        <v>3000022.0400000005</v>
      </c>
      <c r="J102" s="10">
        <v>3000022.0400000005</v>
      </c>
      <c r="K102" s="10">
        <v>3000022.0400000005</v>
      </c>
      <c r="L102" s="10">
        <v>3000022.0400000005</v>
      </c>
      <c r="M102" s="10">
        <v>3000022.0400000005</v>
      </c>
      <c r="N102" s="10">
        <v>3000022.0400000005</v>
      </c>
    </row>
    <row r="103" ht="15.75" customHeight="1">
      <c r="A103" s="7" t="s">
        <v>113</v>
      </c>
      <c r="B103" s="10">
        <v>3105000.0</v>
      </c>
      <c r="C103" s="10">
        <v>3105000.0</v>
      </c>
      <c r="D103" s="10">
        <v>3105000.0</v>
      </c>
      <c r="E103" s="10">
        <v>3105000.0</v>
      </c>
      <c r="F103" s="10">
        <v>3105000.0</v>
      </c>
      <c r="G103" s="10">
        <v>3105000.0</v>
      </c>
      <c r="H103" s="10">
        <v>3105000.0</v>
      </c>
      <c r="I103" s="10">
        <v>3105000.0</v>
      </c>
      <c r="J103" s="10">
        <v>3105000.0</v>
      </c>
      <c r="K103" s="10">
        <v>3105000.0</v>
      </c>
      <c r="L103" s="10">
        <v>3105000.0</v>
      </c>
      <c r="M103" s="10">
        <v>3105000.0</v>
      </c>
      <c r="N103" s="10">
        <v>3105000.0</v>
      </c>
    </row>
    <row r="104" ht="15.75" customHeight="1">
      <c r="A104" s="7" t="s">
        <v>114</v>
      </c>
      <c r="B104" s="8"/>
      <c r="C104" s="8"/>
      <c r="D104" s="8"/>
      <c r="E104" s="8"/>
      <c r="F104" s="8"/>
      <c r="G104" s="8"/>
      <c r="H104" s="10">
        <v>999999.58</v>
      </c>
      <c r="I104" s="10">
        <v>1074999.58</v>
      </c>
      <c r="J104" s="10">
        <v>1079700.0</v>
      </c>
      <c r="K104" s="10">
        <v>1089700.0</v>
      </c>
      <c r="L104" s="10">
        <v>1114700.0</v>
      </c>
      <c r="M104" s="10">
        <v>3000001.8200000003</v>
      </c>
      <c r="N104" s="10">
        <v>3000001.8200000003</v>
      </c>
    </row>
    <row r="105" ht="15.75" customHeight="1">
      <c r="A105" s="7" t="s">
        <v>115</v>
      </c>
      <c r="B105" s="10">
        <v>5613.74</v>
      </c>
      <c r="C105" s="10">
        <v>5613.74</v>
      </c>
      <c r="D105" s="10">
        <v>5613.74</v>
      </c>
      <c r="E105" s="10">
        <v>5613.74</v>
      </c>
      <c r="F105" s="10">
        <v>5613.74</v>
      </c>
      <c r="G105" s="10">
        <v>5613.74</v>
      </c>
      <c r="H105" s="10">
        <v>5613.74</v>
      </c>
      <c r="I105" s="10">
        <v>5613.74</v>
      </c>
      <c r="J105" s="10">
        <v>5613.74</v>
      </c>
      <c r="K105" s="10">
        <v>5613.74</v>
      </c>
      <c r="L105" s="10">
        <v>5613.74</v>
      </c>
      <c r="M105" s="10">
        <v>5613.74</v>
      </c>
      <c r="N105" s="10">
        <v>5613.74</v>
      </c>
    </row>
    <row r="106" ht="15.75" customHeight="1">
      <c r="A106" s="7" t="s">
        <v>116</v>
      </c>
      <c r="B106" s="10">
        <v>-15000.0</v>
      </c>
      <c r="C106" s="10">
        <v>-15000.0</v>
      </c>
      <c r="D106" s="10">
        <v>-15000.0</v>
      </c>
      <c r="E106" s="10">
        <v>-15000.0</v>
      </c>
      <c r="F106" s="10">
        <v>-15000.0</v>
      </c>
      <c r="G106" s="10">
        <v>-15000.0</v>
      </c>
      <c r="H106" s="10">
        <v>-15000.0</v>
      </c>
      <c r="I106" s="10">
        <v>-15000.0</v>
      </c>
      <c r="J106" s="10">
        <v>-15000.0</v>
      </c>
      <c r="K106" s="10">
        <v>-15000.0</v>
      </c>
      <c r="L106" s="10">
        <v>-15000.0</v>
      </c>
      <c r="M106" s="10">
        <v>-15000.0</v>
      </c>
      <c r="N106" s="10">
        <v>-15000.0</v>
      </c>
    </row>
    <row r="107" ht="15.75" customHeight="1">
      <c r="A107" s="7" t="s">
        <v>117</v>
      </c>
      <c r="B107" s="10">
        <v>-4232140.24</v>
      </c>
      <c r="C107" s="10">
        <v>-4232140.24</v>
      </c>
      <c r="D107" s="10">
        <v>-4232140.24</v>
      </c>
      <c r="E107" s="10">
        <v>-4232140.24</v>
      </c>
      <c r="F107" s="10">
        <v>-4232140.24</v>
      </c>
      <c r="G107" s="10">
        <v>-4232140.24</v>
      </c>
      <c r="H107" s="10">
        <v>-4232140.24</v>
      </c>
      <c r="I107" s="10">
        <v>-4232140.24</v>
      </c>
      <c r="J107" s="10">
        <v>-4232140.24</v>
      </c>
      <c r="K107" s="10">
        <v>-4238423.0</v>
      </c>
      <c r="L107" s="10">
        <v>-6611440.45</v>
      </c>
      <c r="M107" s="10">
        <v>-6611440.45</v>
      </c>
      <c r="N107" s="10">
        <v>-6611440.45</v>
      </c>
    </row>
    <row r="108" ht="15.75" customHeight="1">
      <c r="A108" s="7" t="s">
        <v>118</v>
      </c>
      <c r="B108" s="10">
        <v>-362816.1200000001</v>
      </c>
      <c r="C108" s="10">
        <v>-455040.1200000002</v>
      </c>
      <c r="D108" s="10">
        <v>-632239.0900000003</v>
      </c>
      <c r="E108" s="10">
        <v>-918510.81</v>
      </c>
      <c r="F108" s="10">
        <v>-1076327.31</v>
      </c>
      <c r="G108" s="10">
        <v>-1275200.33</v>
      </c>
      <c r="H108" s="10">
        <v>-1456204.4400000002</v>
      </c>
      <c r="I108" s="10">
        <v>-1969830.0300000003</v>
      </c>
      <c r="J108" s="10">
        <v>-2064958.0200000003</v>
      </c>
      <c r="K108" s="10">
        <v>-2373017.45</v>
      </c>
      <c r="L108" s="10">
        <v>-148948.85000000003</v>
      </c>
      <c r="M108" s="10">
        <v>-336268.44000000006</v>
      </c>
      <c r="N108" s="10">
        <v>-397076.9500000002</v>
      </c>
    </row>
    <row r="109" ht="15.75" customHeight="1">
      <c r="A109" s="11" t="s">
        <v>119</v>
      </c>
      <c r="B109" s="12">
        <f t="shared" ref="B109:N109" si="16">B99+B100+B101+B102+B103+B104+B105+B106+B107+B108</f>
        <v>2931679.42</v>
      </c>
      <c r="C109" s="12">
        <f t="shared" si="16"/>
        <v>2839455.42</v>
      </c>
      <c r="D109" s="12">
        <f t="shared" si="16"/>
        <v>2662256.45</v>
      </c>
      <c r="E109" s="12">
        <f t="shared" si="16"/>
        <v>2375984.73</v>
      </c>
      <c r="F109" s="12">
        <f t="shared" si="16"/>
        <v>2218168.23</v>
      </c>
      <c r="G109" s="12">
        <f t="shared" si="16"/>
        <v>2019295.21</v>
      </c>
      <c r="H109" s="12">
        <f t="shared" si="16"/>
        <v>2838290.68</v>
      </c>
      <c r="I109" s="12">
        <f t="shared" si="16"/>
        <v>2399665.09</v>
      </c>
      <c r="J109" s="12">
        <f t="shared" si="16"/>
        <v>2309237.52</v>
      </c>
      <c r="K109" s="12">
        <f t="shared" si="16"/>
        <v>2004895.33</v>
      </c>
      <c r="L109" s="12">
        <f t="shared" si="16"/>
        <v>1880946.48</v>
      </c>
      <c r="M109" s="12">
        <f t="shared" si="16"/>
        <v>3578928.71</v>
      </c>
      <c r="N109" s="12">
        <f t="shared" si="16"/>
        <v>3518120.2</v>
      </c>
    </row>
    <row r="110" ht="15.75" customHeight="1">
      <c r="A110" s="11" t="s">
        <v>120</v>
      </c>
      <c r="B110" s="12">
        <f t="shared" ref="B110:N110" si="17">B98+B109</f>
        <v>3865642.47</v>
      </c>
      <c r="C110" s="12">
        <f t="shared" si="17"/>
        <v>3578859.34</v>
      </c>
      <c r="D110" s="12">
        <f t="shared" si="17"/>
        <v>3437057.04</v>
      </c>
      <c r="E110" s="12">
        <f t="shared" si="17"/>
        <v>3102812.09</v>
      </c>
      <c r="F110" s="12">
        <f t="shared" si="17"/>
        <v>2908796.93</v>
      </c>
      <c r="G110" s="12">
        <f t="shared" si="17"/>
        <v>3011016.8</v>
      </c>
      <c r="H110" s="12">
        <f t="shared" si="17"/>
        <v>3858700.96</v>
      </c>
      <c r="I110" s="12">
        <f t="shared" si="17"/>
        <v>3575651.61</v>
      </c>
      <c r="J110" s="12">
        <f t="shared" si="17"/>
        <v>3625484.27</v>
      </c>
      <c r="K110" s="12">
        <f t="shared" si="17"/>
        <v>3478785.09</v>
      </c>
      <c r="L110" s="12">
        <f t="shared" si="17"/>
        <v>3535445.04</v>
      </c>
      <c r="M110" s="12">
        <f t="shared" si="17"/>
        <v>4682574.92</v>
      </c>
      <c r="N110" s="12">
        <f t="shared" si="17"/>
        <v>4714637.56</v>
      </c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