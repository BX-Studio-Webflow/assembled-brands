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Info" sheetId="1" state="visible" r:id="rId3"/>
    <sheet name="Brand Summary" sheetId="2" state="visible" r:id="rId4"/>
    <sheet name="SKU Velocity — Nat Enhanced" sheetId="3" state="visible" r:id="rId5"/>
    <sheet name="Market Breakdown" sheetId="4" state="visible" r:id="rId6"/>
    <sheet name="Competitive Benchmarking" sheetId="5" state="visible" r:id="rId7"/>
    <sheet name="13-Period Tren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<sst xmlns="http://schemas.openxmlformats.org/spreadsheetml/2006/main" count="183" uniqueCount="153">
  <si>
    <t xml:space="preserve">SPINS  |  Syndicated Velocity &amp; Distribution Report</t>
  </si>
  <si>
    <t xml:space="preserve">Natural Enhanced Channel  |  Conventional Multi-Outlet (MULO)  |  Produced for: Juniper &amp; Grove Snacks, LLC</t>
  </si>
  <si>
    <t xml:space="preserve">REPORT DETAILS</t>
  </si>
  <si>
    <t xml:space="preserve">CHANNEL SCOPE</t>
  </si>
  <si>
    <t xml:space="preserve">Report Date</t>
  </si>
  <si>
    <t xml:space="preserve">November 25, 2023</t>
  </si>
  <si>
    <t xml:space="preserve">Primary Channel</t>
  </si>
  <si>
    <t xml:space="preserve">Natural Enhanced</t>
  </si>
  <si>
    <t xml:space="preserve">Data Through</t>
  </si>
  <si>
    <t xml:space="preserve">Week Ending Nov 18, 2023</t>
  </si>
  <si>
    <t xml:space="preserve">Secondary Channel</t>
  </si>
  <si>
    <t xml:space="preserve">MULO (excl. C&amp;G)</t>
  </si>
  <si>
    <t xml:space="preserve">Report Type</t>
  </si>
  <si>
    <t xml:space="preserve">Syndicated Velocity Report</t>
  </si>
  <si>
    <t xml:space="preserve">Time Periods</t>
  </si>
  <si>
    <t xml:space="preserve">4 / 12 / 52 Wks</t>
  </si>
  <si>
    <t xml:space="preserve">Category</t>
  </si>
  <si>
    <t xml:space="preserve">Snack Bars / BFY Snacks</t>
  </si>
  <si>
    <t xml:space="preserve">Geography</t>
  </si>
  <si>
    <t xml:space="preserve">Total US</t>
  </si>
  <si>
    <t xml:space="preserve">Sub-Category</t>
  </si>
  <si>
    <t xml:space="preserve">Grain-Free / Paleo</t>
  </si>
  <si>
    <t xml:space="preserve">Subchannel</t>
  </si>
  <si>
    <t xml:space="preserve">All Banners</t>
  </si>
  <si>
    <t xml:space="preserve">Brand</t>
  </si>
  <si>
    <t xml:space="preserve">Juniper &amp; Grove</t>
  </si>
  <si>
    <t xml:space="preserve">Universe</t>
  </si>
  <si>
    <t xml:space="preserve">$MM ACV Weighted</t>
  </si>
  <si>
    <t xml:space="preserve">Prepared For</t>
  </si>
  <si>
    <t xml:space="preserve">Simone Trahan, CFO</t>
  </si>
  <si>
    <t xml:space="preserve">Data Provider</t>
  </si>
  <si>
    <t xml:space="preserve">SPINS, LLC</t>
  </si>
  <si>
    <t xml:space="preserve">Report ID</t>
  </si>
  <si>
    <t xml:space="preserve">SPNS-2023-JG-0047</t>
  </si>
  <si>
    <t xml:space="preserve">Subscription Tier</t>
  </si>
  <si>
    <t xml:space="preserve">Brand Essentials</t>
  </si>
  <si>
    <t xml:space="preserve">DISCLAIMER: This report contains proprietary syndicated data provided by SPINS, LLC under a licensed subscription agreement. Data is intended for use by the named subscriber only and may not be shared, redistributed, or reproduced without express written consent from SPINS. All figures are estimated from scanner data collected across participating retailers. Figures may not reflect total brand sales across all channels or retailers. "Natural Enhanced" channel includes natural grocery, natural specialty, and natural/organic food stores. MULO includes grocery, drug, mass, club, dollar, and military channels.</t>
  </si>
  <si>
    <t xml:space="preserve">JUNIPER &amp; GROVE  |  BRAND PERFORMANCE SUMMARY</t>
  </si>
  <si>
    <t xml:space="preserve">All periods ending Week of November 18, 2023  |  Source: SPINS Syndicated Data, Subscription Report SPNS-2023-JG-0047</t>
  </si>
  <si>
    <t xml:space="preserve">NATURAL ENHANCED CHANNEL</t>
  </si>
  <si>
    <t xml:space="preserve">MULO CHANNEL (excl. C&amp;G)</t>
  </si>
  <si>
    <t xml:space="preserve">NOTES</t>
  </si>
  <si>
    <t xml:space="preserve">Time Period</t>
  </si>
  <si>
    <t xml:space="preserve">$ Sales</t>
  </si>
  <si>
    <t xml:space="preserve">$ Chg vs YA</t>
  </si>
  <si>
    <t xml:space="preserve">% ACV Dist.</t>
  </si>
  <si>
    <t xml:space="preserve">Velocity Rank</t>
  </si>
  <si>
    <t xml:space="preserve">Key Insight</t>
  </si>
  <si>
    <t xml:space="preserve">Latest 4 Wks</t>
  </si>
  <si>
    <t xml:space="preserve">#1 in Category</t>
  </si>
  <si>
    <t xml:space="preserve">Velocity #1 in Natural Enhanced Snack Bars — outpacing cat. avg by 2.1x</t>
  </si>
  <si>
    <t xml:space="preserve">Latest 12 Wks</t>
  </si>
  <si>
    <t xml:space="preserve">12-wk trend accelerating vs prior 12 wks (+22.1% vs +18.4%)</t>
  </si>
  <si>
    <t xml:space="preserve">Latest 52 Wks</t>
  </si>
  <si>
    <t xml:space="preserve">52-wk best performer by $ velocity vs all comps in category</t>
  </si>
  <si>
    <t xml:space="preserve">VELOCITY BENCHMARKS — Natural Enhanced  |  $ per Point of ACV Distribution  |  Latest 52 Weeks</t>
  </si>
  <si>
    <t xml:space="preserve">Metric</t>
  </si>
  <si>
    <t xml:space="preserve">Category Average</t>
  </si>
  <si>
    <t xml:space="preserve">Top Quartile Threshold</t>
  </si>
  <si>
    <t xml:space="preserve">vs. Category Avg</t>
  </si>
  <si>
    <t xml:space="preserve">vs. Top Quartile</t>
  </si>
  <si>
    <t xml:space="preserve">$ Velocity (52 Wks)</t>
  </si>
  <si>
    <t xml:space="preserve">Unit Velocity (52 Wks)</t>
  </si>
  <si>
    <t xml:space="preserve">$ Velocity (4 Wks)</t>
  </si>
  <si>
    <t xml:space="preserve">JUNIPER &amp; GROVE  |  SKU-LEVEL VELOCITY REPORT  |  Natural Enhanced Channel</t>
  </si>
  <si>
    <t xml:space="preserve">Latest 4 Weeks &amp; Latest 52 Weeks  |  Week Ending November 18, 2023  |  Source: SPINS, LLC</t>
  </si>
  <si>
    <t xml:space="preserve">PRODUCT</t>
  </si>
  <si>
    <t xml:space="preserve">LATEST 4 WEEKS</t>
  </si>
  <si>
    <t xml:space="preserve">LATEST 52 WEEKS</t>
  </si>
  <si>
    <t xml:space="preserve">UPC</t>
  </si>
  <si>
    <t xml:space="preserve">Product Description</t>
  </si>
  <si>
    <t xml:space="preserve">Size</t>
  </si>
  <si>
    <t xml:space="preserve">Avg Retail
($)</t>
  </si>
  <si>
    <t xml:space="preserve">$ Chg
vs YA</t>
  </si>
  <si>
    <t xml:space="preserve">$ Vel / POD</t>
  </si>
  <si>
    <t xml:space="preserve">% ACV
Dist.</t>
  </si>
  <si>
    <t xml:space="preserve">  WHOLE NUT BARS (1.8 oz)</t>
  </si>
  <si>
    <t xml:space="preserve">810042600101</t>
  </si>
  <si>
    <t xml:space="preserve">Juniper &amp; Grove Whole Nut Bar Almond Coconut</t>
  </si>
  <si>
    <t xml:space="preserve">1.8 oz</t>
  </si>
  <si>
    <t xml:space="preserve">810042600102</t>
  </si>
  <si>
    <t xml:space="preserve">Juniper &amp; Grove Whole Nut Bar Cashew Vanilla</t>
  </si>
  <si>
    <t xml:space="preserve">810042600103</t>
  </si>
  <si>
    <t xml:space="preserve">Juniper &amp; Grove Whole Nut Bar Pecan Date</t>
  </si>
  <si>
    <t xml:space="preserve">810042600104</t>
  </si>
  <si>
    <t xml:space="preserve">Juniper &amp; Grove Whole Nut Bar Dark Choc Hazelnut</t>
  </si>
  <si>
    <t xml:space="preserve">810042600105</t>
  </si>
  <si>
    <t xml:space="preserve">Juniper &amp; Grove Whole Nut Bar Lemon Sunflower</t>
  </si>
  <si>
    <t xml:space="preserve">810042600106</t>
  </si>
  <si>
    <t xml:space="preserve">Juniper &amp; Grove Whole Nut Bar Cherry Almond</t>
  </si>
  <si>
    <t xml:space="preserve">  SEED BITES (4.0 oz)</t>
  </si>
  <si>
    <t xml:space="preserve">810042600201</t>
  </si>
  <si>
    <t xml:space="preserve">Juniper &amp; Grove Seed Bites Honey Pumpkin</t>
  </si>
  <si>
    <t xml:space="preserve">4.0 oz</t>
  </si>
  <si>
    <t xml:space="preserve">810042600202</t>
  </si>
  <si>
    <t xml:space="preserve">Juniper &amp; Grove Seed Bites Dark Cacao Hemp</t>
  </si>
  <si>
    <t xml:space="preserve">810042600203</t>
  </si>
  <si>
    <t xml:space="preserve">Juniper &amp; Grove Seed Bites Sea Salt Sunflower</t>
  </si>
  <si>
    <t xml:space="preserve">810042600204</t>
  </si>
  <si>
    <t xml:space="preserve">Juniper &amp; Grove Seed Bites Maple Sesame</t>
  </si>
  <si>
    <t xml:space="preserve">TOTAL BRAND</t>
  </si>
  <si>
    <t xml:space="preserve">All SKUs</t>
  </si>
  <si>
    <t xml:space="preserve">JUNIPER &amp; GROVE  |  GEOGRAPHIC MARKET BREAKDOWN  |  Natural Enhanced Channel</t>
  </si>
  <si>
    <t xml:space="preserve">Latest 52 Weeks Ending November 18, 2023  |  Source: SPINS, LLC  |  All values in USD unless noted</t>
  </si>
  <si>
    <t xml:space="preserve">Market / Region</t>
  </si>
  <si>
    <t xml:space="preserve">$ Sales (52 Wks)</t>
  </si>
  <si>
    <t xml:space="preserve">Unit Sales</t>
  </si>
  <si>
    <t xml:space="preserve">Wtd POD</t>
  </si>
  <si>
    <t xml:space="preserve">Total US Natural Enhanced</t>
  </si>
  <si>
    <t xml:space="preserve">Pacific</t>
  </si>
  <si>
    <t xml:space="preserve">West</t>
  </si>
  <si>
    <t xml:space="preserve">Southwest</t>
  </si>
  <si>
    <t xml:space="preserve">North Central</t>
  </si>
  <si>
    <t xml:space="preserve">South Central</t>
  </si>
  <si>
    <t xml:space="preserve">Southeast</t>
  </si>
  <si>
    <t xml:space="preserve">Midsouth</t>
  </si>
  <si>
    <t xml:space="preserve">Mid-Atlantic</t>
  </si>
  <si>
    <t xml:space="preserve">Northeast</t>
  </si>
  <si>
    <t xml:space="preserve">Great Lakes</t>
  </si>
  <si>
    <t xml:space="preserve">KEY INSIGHT: Pacific leads all markets in both $ velocity ($95.8) and % ACV (72.3%). Southeast and Great Lakes represent the largest white space opportunity relative to national ACV distribution.</t>
  </si>
  <si>
    <t xml:space="preserve">JUNIPER &amp; GROVE  |  COMPETITIVE BENCHMARKING  |  Natural Enhanced Channel  |  Latest 52 Weeks</t>
  </si>
  <si>
    <t xml:space="preserve">Category: Snack Bars / Better-For-You  |  Sub-Category: Grain-Free / Paleo  |  Source: SPINS, LLC  |  52 Weeks Ending Nov 18, 2023</t>
  </si>
  <si>
    <t xml:space="preserve">Brand / Segment</t>
  </si>
  <si>
    <t xml:space="preserve">Unit Chg vs YA</t>
  </si>
  <si>
    <t xml:space="preserve">$ Velocity / POD</t>
  </si>
  <si>
    <t xml:space="preserve">#1 Velocity</t>
  </si>
  <si>
    <t xml:space="preserve">Category Leader A</t>
  </si>
  <si>
    <t xml:space="preserve">Category Leader B</t>
  </si>
  <si>
    <t xml:space="preserve">Competitor C</t>
  </si>
  <si>
    <t xml:space="preserve">Competitor D</t>
  </si>
  <si>
    <t xml:space="preserve">Competitor E</t>
  </si>
  <si>
    <t xml:space="preserve">Private Label</t>
  </si>
  <si>
    <t xml:space="preserve">All Other</t>
  </si>
  <si>
    <t xml:space="preserve">TOTAL CATEGORY</t>
  </si>
  <si>
    <t xml:space="preserve">KEY INSIGHT: Juniper &amp; Grove ranks #1 in $ velocity per POD at $73.4 — 86% above the category average of $39.4 and 27% above the top-quartile threshold. Distribution gap vs. Category Leader A represents the primary upside lever.</t>
  </si>
  <si>
    <t xml:space="preserve">JUNIPER &amp; GROVE  |  13-PERIOD ROLLING TREND  |  Natural Enhanced Channel  |  4-Week Periods</t>
  </si>
  <si>
    <t xml:space="preserve">13 rolling 4-week periods ending November 18, 2023  |  Source: SPINS, LLC</t>
  </si>
  <si>
    <t xml:space="preserve">P1
Nov 2022</t>
  </si>
  <si>
    <t xml:space="preserve">P2
Dec 2022</t>
  </si>
  <si>
    <t xml:space="preserve">P3
Jan 2023</t>
  </si>
  <si>
    <t xml:space="preserve">P4
Feb 2023</t>
  </si>
  <si>
    <t xml:space="preserve">P5
Mar 2023</t>
  </si>
  <si>
    <t xml:space="preserve">P6
Apr 2023</t>
  </si>
  <si>
    <t xml:space="preserve">P7
May 2023</t>
  </si>
  <si>
    <t xml:space="preserve">P8
Jun 2023</t>
  </si>
  <si>
    <t xml:space="preserve">P9
Jul 2023</t>
  </si>
  <si>
    <t xml:space="preserve">P10
Aug 2023</t>
  </si>
  <si>
    <t xml:space="preserve">P11
Sep 2023</t>
  </si>
  <si>
    <t xml:space="preserve">P12
Oct 2023</t>
  </si>
  <si>
    <t xml:space="preserve">P13
Nov 2023</t>
  </si>
  <si>
    <t xml:space="preserve">% ACV Distribution</t>
  </si>
  <si>
    <t xml:space="preserve">Wtd. POD</t>
  </si>
  <si>
    <t xml:space="preserve">$ Sales % Chg YA</t>
  </si>
</sst>
</file>

<file path=xl/styles.xml><?xml version="1.0" encoding="utf-8"?>
<styleSheet xmlns="http://schemas.openxmlformats.org/spreadsheetml/2006/main">
  <numFmts count="7">
    <numFmt numFmtId="164" formatCode="General"/>
    <numFmt numFmtId="165" formatCode="\$#,##0"/>
    <numFmt numFmtId="166" formatCode="\+0.0%;\-0.0%;\-"/>
    <numFmt numFmtId="167" formatCode="0.0%"/>
    <numFmt numFmtId="168" formatCode="0.0"/>
    <numFmt numFmtId="169" formatCode="\$#,##0.00"/>
    <numFmt numFmtId="170" formatCode="#,##0"/>
  </numFmts>
  <fonts count="2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9"/>
      <color rgb="FFFFFFFF"/>
      <name val="Arial"/>
      <family val="0"/>
      <charset val="1"/>
    </font>
    <font>
      <sz val="9"/>
      <color rgb="FF2D2D2D"/>
      <name val="Arial"/>
      <family val="0"/>
      <charset val="1"/>
    </font>
    <font>
      <b val="true"/>
      <sz val="9"/>
      <color rgb="FF00647D"/>
      <name val="Arial"/>
      <family val="0"/>
      <charset val="1"/>
    </font>
    <font>
      <i val="true"/>
      <sz val="7"/>
      <color rgb="FF555555"/>
      <name val="Arial"/>
      <family val="0"/>
      <charset val="1"/>
    </font>
    <font>
      <b val="true"/>
      <sz val="13"/>
      <color rgb="FFFFFFFF"/>
      <name val="Arial"/>
      <family val="0"/>
      <charset val="1"/>
    </font>
    <font>
      <i val="true"/>
      <sz val="8"/>
      <color rgb="FFFFFFFF"/>
      <name val="Arial"/>
      <family val="0"/>
      <charset val="1"/>
    </font>
    <font>
      <b val="true"/>
      <sz val="10"/>
      <color rgb="FFFFFFFF"/>
      <name val="Arial"/>
      <family val="0"/>
      <charset val="1"/>
    </font>
    <font>
      <b val="true"/>
      <sz val="9"/>
      <color rgb="FF2D2D2D"/>
      <name val="Arial"/>
      <family val="0"/>
      <charset val="1"/>
    </font>
    <font>
      <sz val="9"/>
      <color rgb="FF1A6B3A"/>
      <name val="Arial"/>
      <family val="0"/>
      <charset val="1"/>
    </font>
    <font>
      <b val="true"/>
      <sz val="8"/>
      <color rgb="FF1A6B3A"/>
      <name val="Arial"/>
      <family val="0"/>
      <charset val="1"/>
    </font>
    <font>
      <sz val="8"/>
      <color rgb="FF555555"/>
      <name val="Arial"/>
      <family val="0"/>
      <charset val="1"/>
    </font>
    <font>
      <b val="true"/>
      <sz val="9"/>
      <color rgb="FF1A6B3A"/>
      <name val="Arial"/>
      <family val="0"/>
      <charset val="1"/>
    </font>
    <font>
      <sz val="8"/>
      <color rgb="FF2D2D2D"/>
      <name val="Arial"/>
      <family val="0"/>
      <charset val="1"/>
    </font>
    <font>
      <b val="true"/>
      <i val="true"/>
      <sz val="9"/>
      <color rgb="FF00647D"/>
      <name val="Arial"/>
      <family val="0"/>
      <charset val="1"/>
    </font>
    <font>
      <sz val="9"/>
      <color rgb="FFB22222"/>
      <name val="Arial"/>
      <family val="0"/>
      <charset val="1"/>
    </font>
  </fonts>
  <fills count="15">
    <fill>
      <patternFill patternType="none"/>
    </fill>
    <fill>
      <patternFill patternType="gray125"/>
    </fill>
    <fill>
      <patternFill patternType="solid">
        <fgColor rgb="FF00647D"/>
        <bgColor rgb="FF007A96"/>
      </patternFill>
    </fill>
    <fill>
      <patternFill patternType="solid">
        <fgColor rgb="FF007A96"/>
        <bgColor rgb="FF00647D"/>
      </patternFill>
    </fill>
    <fill>
      <patternFill patternType="solid">
        <fgColor rgb="FFF2F2F2"/>
        <bgColor rgb="FFE8F5ED"/>
      </patternFill>
    </fill>
    <fill>
      <patternFill patternType="solid">
        <fgColor rgb="FFFFFFFF"/>
        <bgColor rgb="FFF4FBFD"/>
      </patternFill>
    </fill>
    <fill>
      <patternFill patternType="solid">
        <fgColor rgb="FFE0F2F7"/>
        <bgColor rgb="FFE8F5ED"/>
      </patternFill>
    </fill>
    <fill>
      <patternFill patternType="solid">
        <fgColor rgb="FF4A6741"/>
        <bgColor rgb="FF5A5A5A"/>
      </patternFill>
    </fill>
    <fill>
      <patternFill patternType="solid">
        <fgColor rgb="FF5A5A5A"/>
        <bgColor rgb="FF555555"/>
      </patternFill>
    </fill>
    <fill>
      <patternFill patternType="solid">
        <fgColor rgb="FFF4FBFD"/>
        <bgColor rgb="FFFFFFFF"/>
      </patternFill>
    </fill>
    <fill>
      <patternFill patternType="solid">
        <fgColor rgb="FFE8F5ED"/>
        <bgColor rgb="FFE0F2F7"/>
      </patternFill>
    </fill>
    <fill>
      <patternFill patternType="solid">
        <fgColor rgb="FF4A4A4A"/>
        <bgColor rgb="FF555555"/>
      </patternFill>
    </fill>
    <fill>
      <patternFill patternType="solid">
        <fgColor rgb="FF2E6B4F"/>
        <bgColor rgb="FF1A6B3A"/>
      </patternFill>
    </fill>
    <fill>
      <patternFill patternType="solid">
        <fgColor rgb="FFFDECEA"/>
        <bgColor rgb="FFF2F2F2"/>
      </patternFill>
    </fill>
    <fill>
      <patternFill patternType="solid">
        <fgColor rgb="FF1A3C2E"/>
        <bgColor rgb="FF2D2D2D"/>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5" borderId="1" xfId="0" applyFont="true" applyBorder="true" applyAlignment="true" applyProtection="false">
      <alignment horizontal="left" vertical="center" textRotation="0" wrapText="false" indent="1" shrinkToFit="false"/>
      <protection locked="true" hidden="false"/>
    </xf>
    <xf numFmtId="164" fontId="7" fillId="5" borderId="1" xfId="0" applyFont="true" applyBorder="true" applyAlignment="true" applyProtection="false">
      <alignment horizontal="left" vertical="center" textRotation="0" wrapText="false" indent="1" shrinkToFit="false"/>
      <protection locked="true" hidden="false"/>
    </xf>
    <xf numFmtId="164" fontId="8" fillId="6" borderId="1" xfId="0" applyFont="true" applyBorder="true" applyAlignment="true" applyProtection="false">
      <alignment horizontal="left" vertical="center" textRotation="0" wrapText="false" indent="1"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1" shrinkToFit="false"/>
      <protection locked="true" hidden="false"/>
    </xf>
    <xf numFmtId="164" fontId="11" fillId="3" borderId="0" xfId="0" applyFont="true" applyBorder="true" applyAlignment="true" applyProtection="false">
      <alignment horizontal="left" vertical="center" textRotation="0" wrapText="false" indent="1"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2" fillId="8" borderId="0" xfId="0" applyFont="true" applyBorder="true" applyAlignment="true" applyProtection="false">
      <alignment horizontal="center"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7" borderId="3" xfId="0" applyFont="true" applyBorder="true" applyAlignment="true" applyProtection="false">
      <alignment horizontal="center" vertical="center" textRotation="0" wrapText="true" indent="0" shrinkToFit="false"/>
      <protection locked="true" hidden="false"/>
    </xf>
    <xf numFmtId="164" fontId="6" fillId="8" borderId="3"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fals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xf numFmtId="166" fontId="14" fillId="10" borderId="1" xfId="0" applyFont="true" applyBorder="true" applyAlignment="true" applyProtection="false">
      <alignment horizontal="center" vertical="center"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8" fontId="17" fillId="10" borderId="1" xfId="0" applyFont="true" applyBorder="true" applyAlignment="true" applyProtection="false">
      <alignment horizontal="center" vertical="center" textRotation="0" wrapText="false" indent="0" shrinkToFit="false"/>
      <protection locked="true" hidden="false"/>
    </xf>
    <xf numFmtId="168" fontId="7" fillId="9" borderId="1" xfId="0" applyFont="true" applyBorder="true" applyAlignment="true" applyProtection="false">
      <alignment horizontal="center" vertical="center"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8" fontId="7" fillId="5"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11"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6" fillId="11" borderId="3" xfId="0" applyFont="true" applyBorder="true" applyAlignment="true" applyProtection="false">
      <alignment horizontal="center" vertical="center" textRotation="0" wrapText="true" indent="0" shrinkToFit="false"/>
      <protection locked="true" hidden="false"/>
    </xf>
    <xf numFmtId="164" fontId="6" fillId="12" borderId="2" xfId="0" applyFont="true" applyBorder="true" applyAlignment="true" applyProtection="false">
      <alignment horizontal="left" vertical="center" textRotation="0" wrapText="false" indent="0" shrinkToFit="false"/>
      <protection locked="true" hidden="false"/>
    </xf>
    <xf numFmtId="164" fontId="18"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9" fontId="7" fillId="9" borderId="1" xfId="0" applyFont="true" applyBorder="true" applyAlignment="true" applyProtection="false">
      <alignment horizontal="center" vertical="center" textRotation="0" wrapText="false" indent="0" shrinkToFit="false"/>
      <protection locked="true" hidden="false"/>
    </xf>
    <xf numFmtId="164" fontId="18"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9" fontId="7"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13"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70"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70" fontId="7" fillId="9" borderId="1" xfId="0" applyFont="true" applyBorder="true" applyAlignment="true" applyProtection="false">
      <alignment horizontal="center" vertical="center" textRotation="0" wrapText="false" indent="0" shrinkToFit="false"/>
      <protection locked="true" hidden="false"/>
    </xf>
    <xf numFmtId="170" fontId="7" fillId="5" borderId="1" xfId="0" applyFont="true" applyBorder="true" applyAlignment="true" applyProtection="false">
      <alignment horizontal="center" vertical="center" textRotation="0" wrapText="false" indent="0" shrinkToFit="false"/>
      <protection locked="true" hidden="false"/>
    </xf>
    <xf numFmtId="164" fontId="19" fillId="6" borderId="2" xfId="0" applyFont="true" applyBorder="true" applyAlignment="true" applyProtection="false">
      <alignment horizontal="left" vertical="center" textRotation="0" wrapText="true" indent="1" shrinkToFit="false"/>
      <protection locked="true" hidden="false"/>
    </xf>
    <xf numFmtId="164" fontId="17" fillId="10" borderId="1" xfId="0" applyFont="true" applyBorder="true" applyAlignment="true" applyProtection="false">
      <alignment horizontal="left" vertical="center" textRotation="0" wrapText="false" indent="0" shrinkToFit="false"/>
      <protection locked="true" hidden="false"/>
    </xf>
    <xf numFmtId="165" fontId="13" fillId="10" borderId="1" xfId="0" applyFont="true" applyBorder="true" applyAlignment="true" applyProtection="false">
      <alignment horizontal="center" vertical="center" textRotation="0" wrapText="false" indent="0" shrinkToFit="false"/>
      <protection locked="true" hidden="false"/>
    </xf>
    <xf numFmtId="170" fontId="7" fillId="10" borderId="1" xfId="0" applyFont="true" applyBorder="true" applyAlignment="true" applyProtection="false">
      <alignment horizontal="center" vertical="center" textRotation="0" wrapText="false" indent="0" shrinkToFit="false"/>
      <protection locked="true" hidden="false"/>
    </xf>
    <xf numFmtId="167" fontId="7" fillId="10"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6" fontId="7" fillId="9" borderId="1" xfId="0" applyFont="true" applyBorder="true" applyAlignment="true" applyProtection="false">
      <alignment horizontal="center" vertical="center" textRotation="0" wrapText="false" indent="0" shrinkToFit="false"/>
      <protection locked="true" hidden="false"/>
    </xf>
    <xf numFmtId="166" fontId="20" fillId="13" borderId="1" xfId="0" applyFont="true" applyBorder="true" applyAlignment="true" applyProtection="false">
      <alignment horizontal="center"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false" indent="0" shrinkToFit="false"/>
      <protection locked="true" hidden="false"/>
    </xf>
    <xf numFmtId="164" fontId="6" fillId="14" borderId="3" xfId="0" applyFont="true" applyBorder="true" applyAlignment="true" applyProtection="false">
      <alignment horizontal="center" vertical="center" textRotation="0" wrapText="true" indent="0" shrinkToFit="false"/>
      <protection locked="true" hidden="false"/>
    </xf>
    <xf numFmtId="165" fontId="17" fillId="10" borderId="1" xfId="0" applyFont="true" applyBorder="true" applyAlignment="true" applyProtection="false">
      <alignment horizontal="center" vertical="center" textRotation="0" wrapText="false" indent="0" shrinkToFit="false"/>
      <protection locked="true" hidden="false"/>
    </xf>
    <xf numFmtId="167" fontId="17" fillId="10" borderId="1" xfId="0" applyFont="true" applyBorder="true" applyAlignment="true" applyProtection="false">
      <alignment horizontal="center" vertical="center" textRotation="0" wrapText="false" indent="0" shrinkToFit="false"/>
      <protection locked="true" hidden="false"/>
    </xf>
    <xf numFmtId="170" fontId="17"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3A"/>
      <rgbColor rgb="FF000080"/>
      <rgbColor rgb="FF808000"/>
      <rgbColor rgb="FF800080"/>
      <rgbColor rgb="FF007A96"/>
      <rgbColor rgb="FFCCCCCC"/>
      <rgbColor rgb="FF4A6741"/>
      <rgbColor rgb="FF9999FF"/>
      <rgbColor rgb="FF555555"/>
      <rgbColor rgb="FFF4FBFD"/>
      <rgbColor rgb="FFE0F2F7"/>
      <rgbColor rgb="FF660066"/>
      <rgbColor rgb="FFFF8080"/>
      <rgbColor rgb="FF0066CC"/>
      <rgbColor rgb="FFCCCCFF"/>
      <rgbColor rgb="FF000080"/>
      <rgbColor rgb="FFFF00FF"/>
      <rgbColor rgb="FFFFFF00"/>
      <rgbColor rgb="FF00FFFF"/>
      <rgbColor rgb="FF800080"/>
      <rgbColor rgb="FF800000"/>
      <rgbColor rgb="FF00647D"/>
      <rgbColor rgb="FF0000FF"/>
      <rgbColor rgb="FF00CCFF"/>
      <rgbColor rgb="FFE8F5ED"/>
      <rgbColor rgb="FFF2F2F2"/>
      <rgbColor rgb="FFFDECEA"/>
      <rgbColor rgb="FF99CCFF"/>
      <rgbColor rgb="FFFF99CC"/>
      <rgbColor rgb="FFCC99FF"/>
      <rgbColor rgb="FFFFCC99"/>
      <rgbColor rgb="FF3366FF"/>
      <rgbColor rgb="FF33CCCC"/>
      <rgbColor rgb="FF99CC00"/>
      <rgbColor rgb="FFFFCC00"/>
      <rgbColor rgb="FFFF9900"/>
      <rgbColor rgb="FFFF6600"/>
      <rgbColor rgb="FF5A5A5A"/>
      <rgbColor rgb="FF969696"/>
      <rgbColor rgb="FF003366"/>
      <rgbColor rgb="FF2E6B4F"/>
      <rgbColor rgb="FF003300"/>
      <rgbColor rgb="FF1A3C2E"/>
      <rgbColor rgb="FFB22222"/>
      <rgbColor rgb="FF993366"/>
      <rgbColor rgb="FF4A4A4A"/>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5" min="3" style="0" width="18"/>
  </cols>
  <sheetData>
    <row r="1" customFormat="false" ht="43.5" hidden="false" customHeight="true" outlineLevel="0" collapsed="false">
      <c r="A1" s="1" t="s">
        <v>0</v>
      </c>
      <c r="B1" s="1"/>
      <c r="C1" s="1"/>
      <c r="D1" s="1"/>
      <c r="E1" s="1"/>
    </row>
    <row r="2" customFormat="false" ht="21.75" hidden="false" customHeight="true" outlineLevel="0" collapsed="false">
      <c r="A2" s="2" t="s">
        <v>1</v>
      </c>
      <c r="B2" s="2"/>
      <c r="C2" s="2"/>
      <c r="D2" s="2"/>
      <c r="E2" s="2"/>
    </row>
    <row r="3" customFormat="false" ht="9.75" hidden="false" customHeight="true" outlineLevel="0" collapsed="false"/>
    <row r="4" customFormat="false" ht="19.5" hidden="false" customHeight="true" outlineLevel="0" collapsed="false">
      <c r="A4" s="3" t="s">
        <v>2</v>
      </c>
      <c r="B4" s="4"/>
      <c r="C4" s="3" t="s">
        <v>3</v>
      </c>
      <c r="D4" s="4"/>
      <c r="E4" s="4"/>
    </row>
    <row r="5" customFormat="false" ht="19.5" hidden="false" customHeight="true" outlineLevel="0" collapsed="false">
      <c r="A5" s="5" t="s">
        <v>4</v>
      </c>
      <c r="B5" s="6" t="s">
        <v>5</v>
      </c>
      <c r="C5" s="5" t="s">
        <v>6</v>
      </c>
      <c r="D5" s="6" t="s">
        <v>7</v>
      </c>
      <c r="E5" s="6"/>
    </row>
    <row r="6" customFormat="false" ht="19.5" hidden="false" customHeight="true" outlineLevel="0" collapsed="false">
      <c r="A6" s="7" t="s">
        <v>8</v>
      </c>
      <c r="B6" s="4" t="s">
        <v>9</v>
      </c>
      <c r="C6" s="7" t="s">
        <v>10</v>
      </c>
      <c r="D6" s="4" t="s">
        <v>11</v>
      </c>
      <c r="E6" s="4"/>
    </row>
    <row r="7" customFormat="false" ht="19.5" hidden="false" customHeight="true" outlineLevel="0" collapsed="false">
      <c r="A7" s="5" t="s">
        <v>12</v>
      </c>
      <c r="B7" s="6" t="s">
        <v>13</v>
      </c>
      <c r="C7" s="5" t="s">
        <v>14</v>
      </c>
      <c r="D7" s="6" t="s">
        <v>15</v>
      </c>
      <c r="E7" s="6"/>
    </row>
    <row r="8" customFormat="false" ht="19.5" hidden="false" customHeight="true" outlineLevel="0" collapsed="false">
      <c r="A8" s="7" t="s">
        <v>16</v>
      </c>
      <c r="B8" s="4" t="s">
        <v>17</v>
      </c>
      <c r="C8" s="7" t="s">
        <v>18</v>
      </c>
      <c r="D8" s="4" t="s">
        <v>19</v>
      </c>
      <c r="E8" s="4"/>
    </row>
    <row r="9" customFormat="false" ht="19.5" hidden="false" customHeight="true" outlineLevel="0" collapsed="false">
      <c r="A9" s="5" t="s">
        <v>20</v>
      </c>
      <c r="B9" s="6" t="s">
        <v>21</v>
      </c>
      <c r="C9" s="5" t="s">
        <v>22</v>
      </c>
      <c r="D9" s="6" t="s">
        <v>23</v>
      </c>
      <c r="E9" s="6"/>
    </row>
    <row r="10" customFormat="false" ht="19.5" hidden="false" customHeight="true" outlineLevel="0" collapsed="false">
      <c r="A10" s="7" t="s">
        <v>24</v>
      </c>
      <c r="B10" s="4" t="s">
        <v>25</v>
      </c>
      <c r="C10" s="7" t="s">
        <v>26</v>
      </c>
      <c r="D10" s="4" t="s">
        <v>27</v>
      </c>
      <c r="E10" s="4"/>
    </row>
    <row r="11" customFormat="false" ht="19.5" hidden="false" customHeight="true" outlineLevel="0" collapsed="false">
      <c r="A11" s="5" t="s">
        <v>28</v>
      </c>
      <c r="B11" s="6" t="s">
        <v>29</v>
      </c>
      <c r="C11" s="5" t="s">
        <v>30</v>
      </c>
      <c r="D11" s="6" t="s">
        <v>31</v>
      </c>
      <c r="E11" s="6"/>
    </row>
    <row r="12" customFormat="false" ht="19.5" hidden="false" customHeight="true" outlineLevel="0" collapsed="false">
      <c r="A12" s="7" t="s">
        <v>32</v>
      </c>
      <c r="B12" s="4" t="s">
        <v>33</v>
      </c>
      <c r="C12" s="7" t="s">
        <v>34</v>
      </c>
      <c r="D12" s="4" t="s">
        <v>35</v>
      </c>
      <c r="E12" s="4"/>
    </row>
    <row r="14" customFormat="false" ht="9.75" hidden="false" customHeight="true" outlineLevel="0" collapsed="false"/>
    <row r="15" customFormat="false" ht="48" hidden="false" customHeight="true" outlineLevel="0" collapsed="false">
      <c r="A15" s="8" t="s">
        <v>36</v>
      </c>
      <c r="B15" s="8"/>
      <c r="C15" s="8"/>
      <c r="D15" s="8"/>
      <c r="E15" s="8"/>
    </row>
  </sheetData>
  <mergeCells count="12">
    <mergeCell ref="A1:E1"/>
    <mergeCell ref="A2:E2"/>
    <mergeCell ref="D4:E4"/>
    <mergeCell ref="D5:E5"/>
    <mergeCell ref="D6:E6"/>
    <mergeCell ref="D7:E7"/>
    <mergeCell ref="D8:E8"/>
    <mergeCell ref="D9:E9"/>
    <mergeCell ref="D10:E10"/>
    <mergeCell ref="D11:E11"/>
    <mergeCell ref="D12:E1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4"/>
    <col collapsed="false" customWidth="true" hidden="false" outlineLevel="0" max="5" min="5" style="0" width="3"/>
    <col collapsed="false" customWidth="true" hidden="false" outlineLevel="0" max="8" min="6" style="0" width="14"/>
    <col collapsed="false" customWidth="true" hidden="false" outlineLevel="0" max="9" min="9" style="0" width="3"/>
    <col collapsed="false" customWidth="true" hidden="false" outlineLevel="0" max="11" min="10" style="0" width="14"/>
  </cols>
  <sheetData>
    <row r="1" customFormat="false" ht="36" hidden="false" customHeight="true" outlineLevel="0" collapsed="false">
      <c r="A1" s="9" t="s">
        <v>37</v>
      </c>
      <c r="B1" s="9"/>
      <c r="C1" s="9"/>
      <c r="D1" s="9"/>
      <c r="E1" s="9"/>
      <c r="F1" s="9"/>
      <c r="G1" s="9"/>
      <c r="H1" s="9"/>
      <c r="I1" s="9"/>
      <c r="J1" s="9"/>
      <c r="K1" s="9"/>
    </row>
    <row r="2" customFormat="false" ht="18" hidden="false" customHeight="true" outlineLevel="0" collapsed="false">
      <c r="A2" s="10" t="s">
        <v>38</v>
      </c>
      <c r="B2" s="10"/>
      <c r="C2" s="10"/>
      <c r="D2" s="10"/>
      <c r="E2" s="10"/>
      <c r="F2" s="10"/>
      <c r="G2" s="10"/>
      <c r="H2" s="10"/>
      <c r="I2" s="10"/>
      <c r="J2" s="10"/>
      <c r="K2" s="10"/>
    </row>
    <row r="3" customFormat="false" ht="7.5" hidden="false" customHeight="true" outlineLevel="0" collapsed="false"/>
    <row r="4" customFormat="false" ht="21.75" hidden="false" customHeight="true" outlineLevel="0" collapsed="false">
      <c r="A4" s="11" t="s">
        <v>39</v>
      </c>
      <c r="B4" s="11"/>
      <c r="C4" s="11"/>
      <c r="D4" s="11"/>
      <c r="E4" s="12"/>
      <c r="F4" s="13" t="s">
        <v>40</v>
      </c>
      <c r="G4" s="13"/>
      <c r="H4" s="13"/>
      <c r="I4" s="12"/>
      <c r="J4" s="14" t="s">
        <v>41</v>
      </c>
      <c r="K4" s="14"/>
    </row>
    <row r="5" customFormat="false" ht="36" hidden="false" customHeight="true" outlineLevel="0" collapsed="false">
      <c r="A5" s="15" t="s">
        <v>42</v>
      </c>
      <c r="B5" s="15" t="s">
        <v>43</v>
      </c>
      <c r="C5" s="15" t="s">
        <v>44</v>
      </c>
      <c r="D5" s="15" t="s">
        <v>45</v>
      </c>
      <c r="E5" s="12"/>
      <c r="F5" s="16" t="s">
        <v>43</v>
      </c>
      <c r="G5" s="16" t="s">
        <v>44</v>
      </c>
      <c r="H5" s="16" t="s">
        <v>45</v>
      </c>
      <c r="I5" s="12"/>
      <c r="J5" s="17" t="s">
        <v>46</v>
      </c>
      <c r="K5" s="17" t="s">
        <v>47</v>
      </c>
    </row>
    <row r="6" customFormat="false" ht="21.75" hidden="false" customHeight="true" outlineLevel="0" collapsed="false">
      <c r="A6" s="18" t="s">
        <v>48</v>
      </c>
      <c r="B6" s="19" t="n">
        <v>142860</v>
      </c>
      <c r="C6" s="20" t="n">
        <v>0.187</v>
      </c>
      <c r="D6" s="21" t="n">
        <v>0.612</v>
      </c>
      <c r="E6" s="12"/>
      <c r="F6" s="19" t="n">
        <v>198340</v>
      </c>
      <c r="G6" s="20" t="n">
        <v>0.094</v>
      </c>
      <c r="H6" s="21" t="n">
        <v>0.184</v>
      </c>
      <c r="I6" s="12"/>
      <c r="J6" s="22" t="s">
        <v>49</v>
      </c>
      <c r="K6" s="23" t="s">
        <v>50</v>
      </c>
    </row>
    <row r="7" customFormat="false" ht="21.75" hidden="false" customHeight="true" outlineLevel="0" collapsed="false">
      <c r="A7" s="24" t="s">
        <v>51</v>
      </c>
      <c r="B7" s="25" t="n">
        <v>418220</v>
      </c>
      <c r="C7" s="20" t="n">
        <v>0.221</v>
      </c>
      <c r="D7" s="26" t="n">
        <v>0.612</v>
      </c>
      <c r="E7" s="12"/>
      <c r="F7" s="25" t="n">
        <v>574600</v>
      </c>
      <c r="G7" s="20" t="n">
        <v>0.112</v>
      </c>
      <c r="H7" s="26" t="n">
        <v>0.184</v>
      </c>
      <c r="I7" s="12"/>
      <c r="J7" s="22" t="s">
        <v>49</v>
      </c>
      <c r="K7" s="27" t="s">
        <v>52</v>
      </c>
    </row>
    <row r="8" customFormat="false" ht="21.75" hidden="false" customHeight="true" outlineLevel="0" collapsed="false">
      <c r="A8" s="18" t="s">
        <v>53</v>
      </c>
      <c r="B8" s="19" t="n">
        <v>1614400</v>
      </c>
      <c r="C8" s="20" t="n">
        <v>0.198</v>
      </c>
      <c r="D8" s="21" t="n">
        <v>0.584</v>
      </c>
      <c r="E8" s="12"/>
      <c r="F8" s="19" t="n">
        <v>2198000</v>
      </c>
      <c r="G8" s="20" t="n">
        <v>0.087</v>
      </c>
      <c r="H8" s="21" t="n">
        <v>0.169</v>
      </c>
      <c r="I8" s="12"/>
      <c r="J8" s="22" t="s">
        <v>49</v>
      </c>
      <c r="K8" s="23" t="s">
        <v>54</v>
      </c>
    </row>
    <row r="9" customFormat="false" ht="7.5" hidden="false" customHeight="true" outlineLevel="0" collapsed="false"/>
    <row r="10" customFormat="false" ht="19.5" hidden="false" customHeight="true" outlineLevel="0" collapsed="false">
      <c r="A10" s="28" t="s">
        <v>55</v>
      </c>
      <c r="B10" s="28"/>
      <c r="C10" s="28"/>
      <c r="D10" s="28"/>
      <c r="E10" s="28"/>
      <c r="F10" s="28"/>
      <c r="G10" s="28"/>
      <c r="H10" s="28"/>
      <c r="I10" s="28"/>
      <c r="J10" s="28"/>
      <c r="K10" s="28"/>
    </row>
    <row r="11" customFormat="false" ht="21.75" hidden="false" customHeight="true" outlineLevel="0" collapsed="false">
      <c r="A11" s="29" t="s">
        <v>56</v>
      </c>
      <c r="B11" s="29" t="s">
        <v>25</v>
      </c>
      <c r="C11" s="29" t="s">
        <v>57</v>
      </c>
      <c r="D11" s="29" t="s">
        <v>58</v>
      </c>
      <c r="E11" s="29" t="s">
        <v>59</v>
      </c>
      <c r="F11" s="29" t="s">
        <v>60</v>
      </c>
    </row>
    <row r="12" customFormat="false" ht="19.5" hidden="false" customHeight="true" outlineLevel="0" collapsed="false">
      <c r="A12" s="18" t="s">
        <v>61</v>
      </c>
      <c r="B12" s="30" t="n">
        <v>73.4</v>
      </c>
      <c r="C12" s="31" t="n">
        <v>39.4</v>
      </c>
      <c r="D12" s="31" t="n">
        <v>58</v>
      </c>
      <c r="E12" s="20" t="n">
        <v>0.862944162436548</v>
      </c>
      <c r="F12" s="20" t="n">
        <v>0.265517241379311</v>
      </c>
      <c r="G12" s="32"/>
      <c r="H12" s="32"/>
      <c r="I12" s="32"/>
      <c r="J12" s="32"/>
      <c r="K12" s="32"/>
    </row>
    <row r="13" customFormat="false" ht="19.5" hidden="false" customHeight="true" outlineLevel="0" collapsed="false">
      <c r="A13" s="24" t="s">
        <v>62</v>
      </c>
      <c r="B13" s="30" t="n">
        <v>22.3</v>
      </c>
      <c r="C13" s="33" t="n">
        <v>11.1</v>
      </c>
      <c r="D13" s="33" t="n">
        <v>16.8</v>
      </c>
      <c r="E13" s="20" t="n">
        <v>1.00900900900901</v>
      </c>
      <c r="F13" s="20" t="n">
        <v>0.327380952380952</v>
      </c>
      <c r="G13" s="34"/>
      <c r="H13" s="34"/>
      <c r="I13" s="34"/>
      <c r="J13" s="34"/>
      <c r="K13" s="34"/>
    </row>
    <row r="14" customFormat="false" ht="19.5" hidden="false" customHeight="true" outlineLevel="0" collapsed="false">
      <c r="A14" s="18" t="s">
        <v>63</v>
      </c>
      <c r="B14" s="30" t="n">
        <v>78</v>
      </c>
      <c r="C14" s="31" t="n">
        <v>41.2</v>
      </c>
      <c r="D14" s="31" t="n">
        <v>61.4</v>
      </c>
      <c r="E14" s="20" t="n">
        <v>0.893203883495146</v>
      </c>
      <c r="F14" s="20" t="n">
        <v>0.270358306188925</v>
      </c>
      <c r="G14" s="32"/>
      <c r="H14" s="32"/>
      <c r="I14" s="32"/>
      <c r="J14" s="32"/>
      <c r="K14" s="32"/>
    </row>
  </sheetData>
  <mergeCells count="6">
    <mergeCell ref="A1:K1"/>
    <mergeCell ref="A2:K2"/>
    <mergeCell ref="A4:D4"/>
    <mergeCell ref="F4:H4"/>
    <mergeCell ref="J4:K4"/>
    <mergeCell ref="A10: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8"/>
    <col collapsed="false" customWidth="true" hidden="false" outlineLevel="0" max="3" min="3" style="0" width="6"/>
    <col collapsed="false" customWidth="true" hidden="false" outlineLevel="0" max="4" min="4" style="0" width="5"/>
    <col collapsed="false" customWidth="true" hidden="false" outlineLevel="0" max="8" min="5" style="0" width="11"/>
    <col collapsed="false" customWidth="true" hidden="false" outlineLevel="0" max="12" min="9" style="0" width="10"/>
  </cols>
  <sheetData>
    <row r="1" customFormat="false" ht="36" hidden="false" customHeight="true" outlineLevel="0" collapsed="false">
      <c r="A1" s="9" t="s">
        <v>64</v>
      </c>
      <c r="B1" s="9"/>
      <c r="C1" s="9"/>
      <c r="D1" s="9"/>
      <c r="E1" s="9"/>
      <c r="F1" s="9"/>
      <c r="G1" s="9"/>
      <c r="H1" s="9"/>
      <c r="I1" s="9"/>
      <c r="J1" s="9"/>
      <c r="K1" s="9"/>
      <c r="L1" s="9"/>
    </row>
    <row r="2" customFormat="false" ht="18" hidden="false" customHeight="true" outlineLevel="0" collapsed="false">
      <c r="A2" s="10" t="s">
        <v>65</v>
      </c>
      <c r="B2" s="10"/>
      <c r="C2" s="10"/>
      <c r="D2" s="10"/>
      <c r="E2" s="10"/>
      <c r="F2" s="10"/>
      <c r="G2" s="10"/>
      <c r="H2" s="10"/>
      <c r="I2" s="10"/>
      <c r="J2" s="10"/>
      <c r="K2" s="10"/>
      <c r="L2" s="10"/>
    </row>
    <row r="3" customFormat="false" ht="7.5" hidden="false" customHeight="true" outlineLevel="0" collapsed="false"/>
    <row r="4" customFormat="false" ht="19.5" hidden="false" customHeight="true" outlineLevel="0" collapsed="false">
      <c r="A4" s="35" t="s">
        <v>66</v>
      </c>
      <c r="B4" s="35"/>
      <c r="C4" s="35"/>
      <c r="D4" s="35"/>
      <c r="E4" s="36" t="s">
        <v>67</v>
      </c>
      <c r="F4" s="36"/>
      <c r="G4" s="36"/>
      <c r="H4" s="36"/>
      <c r="I4" s="37" t="s">
        <v>68</v>
      </c>
      <c r="J4" s="37"/>
      <c r="K4" s="37"/>
      <c r="L4" s="37"/>
    </row>
    <row r="5" customFormat="false" ht="33.75" hidden="false" customHeight="true" outlineLevel="0" collapsed="false">
      <c r="A5" s="38" t="s">
        <v>69</v>
      </c>
      <c r="B5" s="38" t="s">
        <v>70</v>
      </c>
      <c r="C5" s="38" t="s">
        <v>71</v>
      </c>
      <c r="D5" s="38" t="s">
        <v>72</v>
      </c>
      <c r="E5" s="15" t="s">
        <v>43</v>
      </c>
      <c r="F5" s="15" t="s">
        <v>73</v>
      </c>
      <c r="G5" s="15" t="s">
        <v>74</v>
      </c>
      <c r="H5" s="15" t="s">
        <v>75</v>
      </c>
      <c r="I5" s="29" t="s">
        <v>43</v>
      </c>
      <c r="J5" s="29" t="s">
        <v>73</v>
      </c>
      <c r="K5" s="29" t="s">
        <v>74</v>
      </c>
      <c r="L5" s="29" t="s">
        <v>75</v>
      </c>
    </row>
    <row r="6" customFormat="false" ht="18" hidden="false" customHeight="true" outlineLevel="0" collapsed="false">
      <c r="A6" s="39" t="s">
        <v>76</v>
      </c>
      <c r="B6" s="39"/>
      <c r="C6" s="39"/>
      <c r="D6" s="39"/>
      <c r="E6" s="39"/>
      <c r="F6" s="39"/>
      <c r="G6" s="39"/>
      <c r="H6" s="39"/>
      <c r="I6" s="39"/>
      <c r="J6" s="39"/>
      <c r="K6" s="39"/>
      <c r="L6" s="39"/>
    </row>
    <row r="7" customFormat="false" ht="18" hidden="false" customHeight="true" outlineLevel="0" collapsed="false">
      <c r="A7" s="40" t="s">
        <v>77</v>
      </c>
      <c r="B7" s="41" t="s">
        <v>78</v>
      </c>
      <c r="C7" s="42" t="s">
        <v>79</v>
      </c>
      <c r="D7" s="43" t="n">
        <v>3.29</v>
      </c>
      <c r="E7" s="19" t="n">
        <v>25840</v>
      </c>
      <c r="F7" s="20" t="n">
        <v>0.267</v>
      </c>
      <c r="G7" s="31" t="n">
        <v>79.2</v>
      </c>
      <c r="H7" s="21" t="n">
        <v>0.574</v>
      </c>
      <c r="I7" s="19" t="n">
        <v>334200</v>
      </c>
      <c r="J7" s="20" t="n">
        <v>0.241</v>
      </c>
      <c r="K7" s="31" t="n">
        <v>77.6</v>
      </c>
      <c r="L7" s="21" t="n">
        <v>0.574</v>
      </c>
    </row>
    <row r="8" customFormat="false" ht="18" hidden="false" customHeight="true" outlineLevel="0" collapsed="false">
      <c r="A8" s="44" t="s">
        <v>80</v>
      </c>
      <c r="B8" s="45" t="s">
        <v>81</v>
      </c>
      <c r="C8" s="46" t="s">
        <v>79</v>
      </c>
      <c r="D8" s="47" t="n">
        <v>3.29</v>
      </c>
      <c r="E8" s="25" t="n">
        <v>22910</v>
      </c>
      <c r="F8" s="20" t="n">
        <v>0.241</v>
      </c>
      <c r="G8" s="33" t="n">
        <v>73.8</v>
      </c>
      <c r="H8" s="26" t="n">
        <v>0.552</v>
      </c>
      <c r="I8" s="25" t="n">
        <v>298400</v>
      </c>
      <c r="J8" s="20" t="n">
        <v>0.218</v>
      </c>
      <c r="K8" s="33" t="n">
        <v>72.1</v>
      </c>
      <c r="L8" s="26" t="n">
        <v>0.552</v>
      </c>
    </row>
    <row r="9" customFormat="false" ht="18" hidden="false" customHeight="true" outlineLevel="0" collapsed="false">
      <c r="A9" s="40" t="s">
        <v>82</v>
      </c>
      <c r="B9" s="41" t="s">
        <v>83</v>
      </c>
      <c r="C9" s="42" t="s">
        <v>79</v>
      </c>
      <c r="D9" s="43" t="n">
        <v>3.49</v>
      </c>
      <c r="E9" s="19" t="n">
        <v>18640</v>
      </c>
      <c r="F9" s="20" t="n">
        <v>0.212</v>
      </c>
      <c r="G9" s="31" t="n">
        <v>64.1</v>
      </c>
      <c r="H9" s="21" t="n">
        <v>0.518</v>
      </c>
      <c r="I9" s="19" t="n">
        <v>243100</v>
      </c>
      <c r="J9" s="20" t="n">
        <v>0.187</v>
      </c>
      <c r="K9" s="31" t="n">
        <v>62.8</v>
      </c>
      <c r="L9" s="21" t="n">
        <v>0.518</v>
      </c>
    </row>
    <row r="10" customFormat="false" ht="18" hidden="false" customHeight="true" outlineLevel="0" collapsed="false">
      <c r="A10" s="44" t="s">
        <v>84</v>
      </c>
      <c r="B10" s="45" t="s">
        <v>85</v>
      </c>
      <c r="C10" s="46" t="s">
        <v>79</v>
      </c>
      <c r="D10" s="47" t="n">
        <v>3.49</v>
      </c>
      <c r="E10" s="25" t="n">
        <v>16780</v>
      </c>
      <c r="F10" s="20" t="n">
        <v>0.231</v>
      </c>
      <c r="G10" s="33" t="n">
        <v>60.6</v>
      </c>
      <c r="H10" s="26" t="n">
        <v>0.493</v>
      </c>
      <c r="I10" s="25" t="n">
        <v>219600</v>
      </c>
      <c r="J10" s="20" t="n">
        <v>0.204</v>
      </c>
      <c r="K10" s="33" t="n">
        <v>59.5</v>
      </c>
      <c r="L10" s="26" t="n">
        <v>0.493</v>
      </c>
    </row>
    <row r="11" customFormat="false" ht="18" hidden="false" customHeight="true" outlineLevel="0" collapsed="false">
      <c r="A11" s="40" t="s">
        <v>86</v>
      </c>
      <c r="B11" s="41" t="s">
        <v>87</v>
      </c>
      <c r="C11" s="42" t="s">
        <v>79</v>
      </c>
      <c r="D11" s="43" t="n">
        <v>3.29</v>
      </c>
      <c r="E11" s="19" t="n">
        <v>14220</v>
      </c>
      <c r="F11" s="20" t="n">
        <v>0.139</v>
      </c>
      <c r="G11" s="31" t="n">
        <v>57.2</v>
      </c>
      <c r="H11" s="21" t="n">
        <v>0.441</v>
      </c>
      <c r="I11" s="19" t="n">
        <v>186500</v>
      </c>
      <c r="J11" s="20" t="n">
        <v>0.122</v>
      </c>
      <c r="K11" s="31" t="n">
        <v>56.4</v>
      </c>
      <c r="L11" s="21" t="n">
        <v>0.441</v>
      </c>
    </row>
    <row r="12" customFormat="false" ht="18" hidden="false" customHeight="true" outlineLevel="0" collapsed="false">
      <c r="A12" s="44" t="s">
        <v>88</v>
      </c>
      <c r="B12" s="45" t="s">
        <v>89</v>
      </c>
      <c r="C12" s="46" t="s">
        <v>79</v>
      </c>
      <c r="D12" s="47" t="n">
        <v>3.29</v>
      </c>
      <c r="E12" s="25" t="n">
        <v>12060</v>
      </c>
      <c r="F12" s="20" t="n">
        <v>0.108</v>
      </c>
      <c r="G12" s="33" t="n">
        <v>52.8</v>
      </c>
      <c r="H12" s="26" t="n">
        <v>0.406</v>
      </c>
      <c r="I12" s="25" t="n">
        <v>157800</v>
      </c>
      <c r="J12" s="20" t="n">
        <v>0.098</v>
      </c>
      <c r="K12" s="33" t="n">
        <v>51.9</v>
      </c>
      <c r="L12" s="26" t="n">
        <v>0.406</v>
      </c>
    </row>
    <row r="13" customFormat="false" ht="18" hidden="false" customHeight="true" outlineLevel="0" collapsed="false">
      <c r="A13" s="39" t="s">
        <v>90</v>
      </c>
      <c r="B13" s="39"/>
      <c r="C13" s="39"/>
      <c r="D13" s="39"/>
      <c r="E13" s="39"/>
      <c r="F13" s="39"/>
      <c r="G13" s="39"/>
      <c r="H13" s="39"/>
      <c r="I13" s="39"/>
      <c r="J13" s="39"/>
      <c r="K13" s="39"/>
      <c r="L13" s="39"/>
    </row>
    <row r="14" customFormat="false" ht="18" hidden="false" customHeight="true" outlineLevel="0" collapsed="false">
      <c r="A14" s="40" t="s">
        <v>91</v>
      </c>
      <c r="B14" s="41" t="s">
        <v>92</v>
      </c>
      <c r="C14" s="42" t="s">
        <v>93</v>
      </c>
      <c r="D14" s="43" t="n">
        <v>5.99</v>
      </c>
      <c r="E14" s="19" t="n">
        <v>16290</v>
      </c>
      <c r="F14" s="20" t="n">
        <v>0.342</v>
      </c>
      <c r="G14" s="31" t="n">
        <v>66</v>
      </c>
      <c r="H14" s="21" t="n">
        <v>0.382</v>
      </c>
      <c r="I14" s="19" t="n">
        <v>184600</v>
      </c>
      <c r="J14" s="20" t="n">
        <v>0.312</v>
      </c>
      <c r="K14" s="31" t="n">
        <v>64.5</v>
      </c>
      <c r="L14" s="21" t="n">
        <v>0.382</v>
      </c>
    </row>
    <row r="15" customFormat="false" ht="18" hidden="false" customHeight="true" outlineLevel="0" collapsed="false">
      <c r="A15" s="44" t="s">
        <v>94</v>
      </c>
      <c r="B15" s="45" t="s">
        <v>95</v>
      </c>
      <c r="C15" s="46" t="s">
        <v>93</v>
      </c>
      <c r="D15" s="47" t="n">
        <v>5.99</v>
      </c>
      <c r="E15" s="25" t="n">
        <v>15020</v>
      </c>
      <c r="F15" s="20" t="n">
        <v>0.318</v>
      </c>
      <c r="G15" s="33" t="n">
        <v>63.8</v>
      </c>
      <c r="H15" s="26" t="n">
        <v>0.367</v>
      </c>
      <c r="I15" s="25" t="n">
        <v>171300</v>
      </c>
      <c r="J15" s="20" t="n">
        <v>0.289</v>
      </c>
      <c r="K15" s="33" t="n">
        <v>62.4</v>
      </c>
      <c r="L15" s="26" t="n">
        <v>0.367</v>
      </c>
    </row>
    <row r="16" customFormat="false" ht="18" hidden="false" customHeight="true" outlineLevel="0" collapsed="false">
      <c r="A16" s="40" t="s">
        <v>96</v>
      </c>
      <c r="B16" s="41" t="s">
        <v>97</v>
      </c>
      <c r="C16" s="42" t="s">
        <v>93</v>
      </c>
      <c r="D16" s="43" t="n">
        <v>5.99</v>
      </c>
      <c r="E16" s="19" t="n">
        <v>12410</v>
      </c>
      <c r="F16" s="20" t="n">
        <v>0.254</v>
      </c>
      <c r="G16" s="31" t="n">
        <v>61.2</v>
      </c>
      <c r="H16" s="21" t="n">
        <v>0.321</v>
      </c>
      <c r="I16" s="19" t="n">
        <v>143100</v>
      </c>
      <c r="J16" s="20" t="n">
        <v>0.228</v>
      </c>
      <c r="K16" s="31" t="n">
        <v>59.7</v>
      </c>
      <c r="L16" s="21" t="n">
        <v>0.321</v>
      </c>
    </row>
    <row r="17" customFormat="false" ht="18" hidden="false" customHeight="true" outlineLevel="0" collapsed="false">
      <c r="A17" s="44" t="s">
        <v>98</v>
      </c>
      <c r="B17" s="45" t="s">
        <v>99</v>
      </c>
      <c r="C17" s="46" t="s">
        <v>93</v>
      </c>
      <c r="D17" s="47" t="n">
        <v>5.99</v>
      </c>
      <c r="E17" s="25" t="n">
        <v>9690</v>
      </c>
      <c r="F17" s="20" t="n">
        <v>0.221</v>
      </c>
      <c r="G17" s="33" t="n">
        <v>57.3</v>
      </c>
      <c r="H17" s="26" t="n">
        <v>0.274</v>
      </c>
      <c r="I17" s="25" t="n">
        <v>115800</v>
      </c>
      <c r="J17" s="20" t="n">
        <v>0.196</v>
      </c>
      <c r="K17" s="33" t="n">
        <v>56.4</v>
      </c>
      <c r="L17" s="26" t="n">
        <v>0.274</v>
      </c>
    </row>
    <row r="18" customFormat="false" ht="19.5" hidden="false" customHeight="true" outlineLevel="0" collapsed="false">
      <c r="A18" s="48" t="s">
        <v>100</v>
      </c>
      <c r="B18" s="48" t="s">
        <v>101</v>
      </c>
      <c r="C18" s="49"/>
      <c r="D18" s="49"/>
      <c r="E18" s="50" t="n">
        <f aca="false">SUM(F7:F17)</f>
        <v>2.333</v>
      </c>
      <c r="F18" s="51"/>
      <c r="G18" s="51"/>
      <c r="H18" s="51"/>
      <c r="I18" s="50" t="n">
        <f aca="false">SUM(J7:J17)</f>
        <v>2.095</v>
      </c>
      <c r="J18" s="51"/>
      <c r="K18" s="51"/>
      <c r="L18" s="51"/>
    </row>
  </sheetData>
  <mergeCells count="7">
    <mergeCell ref="A1:L1"/>
    <mergeCell ref="A2:L2"/>
    <mergeCell ref="A4:D4"/>
    <mergeCell ref="E4:H4"/>
    <mergeCell ref="I4:L4"/>
    <mergeCell ref="A6:L6"/>
    <mergeCell ref="A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36" hidden="false" customHeight="true" outlineLevel="0" collapsed="false">
      <c r="A1" s="9" t="s">
        <v>102</v>
      </c>
      <c r="B1" s="9"/>
      <c r="C1" s="9"/>
      <c r="D1" s="9"/>
      <c r="E1" s="9"/>
      <c r="F1" s="9"/>
      <c r="G1" s="9"/>
    </row>
    <row r="2" customFormat="false" ht="18" hidden="false" customHeight="true" outlineLevel="0" collapsed="false">
      <c r="A2" s="10" t="s">
        <v>103</v>
      </c>
      <c r="B2" s="10"/>
      <c r="C2" s="10"/>
      <c r="D2" s="10"/>
      <c r="E2" s="10"/>
      <c r="F2" s="10"/>
      <c r="G2" s="10"/>
    </row>
    <row r="3" customFormat="false" ht="7.5" hidden="false" customHeight="true" outlineLevel="0" collapsed="false"/>
    <row r="4" customFormat="false" ht="31.5" hidden="false" customHeight="true" outlineLevel="0" collapsed="false">
      <c r="A4" s="15" t="s">
        <v>104</v>
      </c>
      <c r="B4" s="15" t="s">
        <v>105</v>
      </c>
      <c r="C4" s="15" t="s">
        <v>44</v>
      </c>
      <c r="D4" s="15" t="s">
        <v>106</v>
      </c>
      <c r="E4" s="15" t="s">
        <v>45</v>
      </c>
      <c r="F4" s="15" t="s">
        <v>107</v>
      </c>
      <c r="G4" s="15" t="s">
        <v>74</v>
      </c>
    </row>
    <row r="5" customFormat="false" ht="19.5" hidden="false" customHeight="true" outlineLevel="0" collapsed="false">
      <c r="A5" s="52" t="s">
        <v>108</v>
      </c>
      <c r="B5" s="53" t="n">
        <v>1614400</v>
      </c>
      <c r="C5" s="20" t="n">
        <v>0.198</v>
      </c>
      <c r="D5" s="54" t="n">
        <v>490200</v>
      </c>
      <c r="E5" s="55" t="n">
        <v>0.584</v>
      </c>
      <c r="F5" s="54" t="n">
        <v>1750</v>
      </c>
      <c r="G5" s="56" t="n">
        <f aca="false">B5/(E5)</f>
        <v>2764383.56164384</v>
      </c>
    </row>
    <row r="6" customFormat="false" ht="19.5" hidden="false" customHeight="true" outlineLevel="0" collapsed="false">
      <c r="A6" s="41" t="s">
        <v>109</v>
      </c>
      <c r="B6" s="19" t="n">
        <v>312800</v>
      </c>
      <c r="C6" s="20" t="n">
        <v>0.231</v>
      </c>
      <c r="D6" s="57" t="n">
        <v>95180</v>
      </c>
      <c r="E6" s="21" t="n">
        <v>0.723</v>
      </c>
      <c r="F6" s="57" t="n">
        <v>2170</v>
      </c>
      <c r="G6" s="31" t="n">
        <f aca="false">B6/(E6)</f>
        <v>432641.770401107</v>
      </c>
    </row>
    <row r="7" customFormat="false" ht="19.5" hidden="false" customHeight="true" outlineLevel="0" collapsed="false">
      <c r="A7" s="45" t="s">
        <v>110</v>
      </c>
      <c r="B7" s="25" t="n">
        <v>248600</v>
      </c>
      <c r="C7" s="20" t="n">
        <v>0.214</v>
      </c>
      <c r="D7" s="58" t="n">
        <v>75610</v>
      </c>
      <c r="E7" s="26" t="n">
        <v>0.681</v>
      </c>
      <c r="F7" s="58" t="n">
        <v>2040</v>
      </c>
      <c r="G7" s="33" t="n">
        <f aca="false">B7/(E7)</f>
        <v>365051.395007342</v>
      </c>
    </row>
    <row r="8" customFormat="false" ht="19.5" hidden="false" customHeight="true" outlineLevel="0" collapsed="false">
      <c r="A8" s="41" t="s">
        <v>111</v>
      </c>
      <c r="B8" s="19" t="n">
        <v>198200</v>
      </c>
      <c r="C8" s="20" t="n">
        <v>0.188</v>
      </c>
      <c r="D8" s="57" t="n">
        <v>60240</v>
      </c>
      <c r="E8" s="21" t="n">
        <v>0.614</v>
      </c>
      <c r="F8" s="57" t="n">
        <v>1840</v>
      </c>
      <c r="G8" s="31" t="n">
        <f aca="false">B8/(E8)</f>
        <v>322801.302931596</v>
      </c>
    </row>
    <row r="9" customFormat="false" ht="19.5" hidden="false" customHeight="true" outlineLevel="0" collapsed="false">
      <c r="A9" s="45" t="s">
        <v>112</v>
      </c>
      <c r="B9" s="25" t="n">
        <v>168400</v>
      </c>
      <c r="C9" s="20" t="n">
        <v>0.176</v>
      </c>
      <c r="D9" s="58" t="n">
        <v>51200</v>
      </c>
      <c r="E9" s="26" t="n">
        <v>0.542</v>
      </c>
      <c r="F9" s="58" t="n">
        <v>1620</v>
      </c>
      <c r="G9" s="33" t="n">
        <f aca="false">B9/(E9)</f>
        <v>310701.10701107</v>
      </c>
    </row>
    <row r="10" customFormat="false" ht="19.5" hidden="false" customHeight="true" outlineLevel="0" collapsed="false">
      <c r="A10" s="41" t="s">
        <v>113</v>
      </c>
      <c r="B10" s="19" t="n">
        <v>142100</v>
      </c>
      <c r="C10" s="20" t="n">
        <v>0.161</v>
      </c>
      <c r="D10" s="57" t="n">
        <v>43200</v>
      </c>
      <c r="E10" s="21" t="n">
        <v>0.498</v>
      </c>
      <c r="F10" s="57" t="n">
        <v>1490</v>
      </c>
      <c r="G10" s="31" t="n">
        <f aca="false">B10/(E10)</f>
        <v>285341.365461847</v>
      </c>
    </row>
    <row r="11" customFormat="false" ht="19.5" hidden="false" customHeight="true" outlineLevel="0" collapsed="false">
      <c r="A11" s="45" t="s">
        <v>114</v>
      </c>
      <c r="B11" s="25" t="n">
        <v>122600</v>
      </c>
      <c r="C11" s="20" t="n">
        <v>0.148</v>
      </c>
      <c r="D11" s="58" t="n">
        <v>37280</v>
      </c>
      <c r="E11" s="26" t="n">
        <v>0.463</v>
      </c>
      <c r="F11" s="58" t="n">
        <v>1388</v>
      </c>
      <c r="G11" s="33" t="n">
        <f aca="false">B11/(E11)</f>
        <v>264794.816414687</v>
      </c>
    </row>
    <row r="12" customFormat="false" ht="19.5" hidden="false" customHeight="true" outlineLevel="0" collapsed="false">
      <c r="A12" s="41" t="s">
        <v>115</v>
      </c>
      <c r="B12" s="19" t="n">
        <v>98300</v>
      </c>
      <c r="C12" s="20" t="n">
        <v>0.132</v>
      </c>
      <c r="D12" s="57" t="n">
        <v>29890</v>
      </c>
      <c r="E12" s="21" t="n">
        <v>0.421</v>
      </c>
      <c r="F12" s="57" t="n">
        <v>1260</v>
      </c>
      <c r="G12" s="31" t="n">
        <f aca="false">B12/(E12)</f>
        <v>233491.686460808</v>
      </c>
    </row>
    <row r="13" customFormat="false" ht="19.5" hidden="false" customHeight="true" outlineLevel="0" collapsed="false">
      <c r="A13" s="45" t="s">
        <v>116</v>
      </c>
      <c r="B13" s="25" t="n">
        <v>168500</v>
      </c>
      <c r="C13" s="20" t="n">
        <v>0.184</v>
      </c>
      <c r="D13" s="58" t="n">
        <v>51200</v>
      </c>
      <c r="E13" s="26" t="n">
        <v>0.569</v>
      </c>
      <c r="F13" s="58" t="n">
        <v>1706</v>
      </c>
      <c r="G13" s="33" t="n">
        <f aca="false">B13/(E13)</f>
        <v>296133.567662566</v>
      </c>
    </row>
    <row r="14" customFormat="false" ht="19.5" hidden="false" customHeight="true" outlineLevel="0" collapsed="false">
      <c r="A14" s="41" t="s">
        <v>117</v>
      </c>
      <c r="B14" s="19" t="n">
        <v>97100</v>
      </c>
      <c r="C14" s="20" t="n">
        <v>0.162</v>
      </c>
      <c r="D14" s="57" t="n">
        <v>29540</v>
      </c>
      <c r="E14" s="21" t="n">
        <v>0.438</v>
      </c>
      <c r="F14" s="57" t="n">
        <v>1312</v>
      </c>
      <c r="G14" s="31" t="n">
        <f aca="false">B14/(E14)</f>
        <v>221689.497716895</v>
      </c>
    </row>
    <row r="15" customFormat="false" ht="19.5" hidden="false" customHeight="true" outlineLevel="0" collapsed="false">
      <c r="A15" s="45" t="s">
        <v>118</v>
      </c>
      <c r="B15" s="25" t="n">
        <v>57800</v>
      </c>
      <c r="C15" s="20" t="n">
        <v>0.121</v>
      </c>
      <c r="D15" s="58" t="n">
        <v>17560</v>
      </c>
      <c r="E15" s="26" t="n">
        <v>0.362</v>
      </c>
      <c r="F15" s="58" t="n">
        <v>986</v>
      </c>
      <c r="G15" s="33" t="n">
        <f aca="false">B15/(E15)</f>
        <v>159668.508287293</v>
      </c>
    </row>
    <row r="17" customFormat="false" ht="9.75" hidden="false" customHeight="true" outlineLevel="0" collapsed="false"/>
    <row r="18" customFormat="false" ht="21.75" hidden="false" customHeight="true" outlineLevel="0" collapsed="false">
      <c r="A18" s="59" t="s">
        <v>119</v>
      </c>
      <c r="B18" s="59"/>
      <c r="C18" s="59"/>
      <c r="D18" s="59"/>
      <c r="E18" s="59"/>
      <c r="F18" s="59"/>
      <c r="G18" s="59"/>
    </row>
  </sheetData>
  <mergeCells count="3">
    <mergeCell ref="A1:G1"/>
    <mergeCell ref="A2:G2"/>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8"/>
  </cols>
  <sheetData>
    <row r="1" customFormat="false" ht="36" hidden="false" customHeight="true" outlineLevel="0" collapsed="false">
      <c r="A1" s="9" t="s">
        <v>120</v>
      </c>
      <c r="B1" s="9"/>
      <c r="C1" s="9"/>
      <c r="D1" s="9"/>
      <c r="E1" s="9"/>
      <c r="F1" s="9"/>
      <c r="G1" s="9"/>
    </row>
    <row r="2" customFormat="false" ht="18" hidden="false" customHeight="true" outlineLevel="0" collapsed="false">
      <c r="A2" s="10" t="s">
        <v>121</v>
      </c>
      <c r="B2" s="10"/>
      <c r="C2" s="10"/>
      <c r="D2" s="10"/>
      <c r="E2" s="10"/>
      <c r="F2" s="10"/>
      <c r="G2" s="10"/>
    </row>
    <row r="3" customFormat="false" ht="7.5" hidden="false" customHeight="true" outlineLevel="0" collapsed="false"/>
    <row r="4" customFormat="false" ht="31.5" hidden="false" customHeight="true" outlineLevel="0" collapsed="false">
      <c r="A4" s="15" t="s">
        <v>122</v>
      </c>
      <c r="B4" s="15" t="s">
        <v>105</v>
      </c>
      <c r="C4" s="15" t="s">
        <v>44</v>
      </c>
      <c r="D4" s="15" t="s">
        <v>106</v>
      </c>
      <c r="E4" s="15" t="s">
        <v>123</v>
      </c>
      <c r="F4" s="15" t="s">
        <v>45</v>
      </c>
      <c r="G4" s="15" t="s">
        <v>124</v>
      </c>
    </row>
    <row r="5" customFormat="false" ht="19.5" hidden="false" customHeight="true" outlineLevel="0" collapsed="false">
      <c r="A5" s="60" t="s">
        <v>25</v>
      </c>
      <c r="B5" s="61" t="n">
        <v>1614400</v>
      </c>
      <c r="C5" s="20" t="n">
        <v>0.198</v>
      </c>
      <c r="D5" s="62" t="n">
        <v>490200</v>
      </c>
      <c r="E5" s="20" t="n">
        <v>58.4</v>
      </c>
      <c r="F5" s="63" t="n">
        <v>0.734</v>
      </c>
      <c r="G5" s="30" t="s">
        <v>125</v>
      </c>
    </row>
    <row r="6" customFormat="false" ht="19.5" hidden="false" customHeight="true" outlineLevel="0" collapsed="false">
      <c r="A6" s="45" t="s">
        <v>126</v>
      </c>
      <c r="B6" s="25" t="n">
        <v>4218000</v>
      </c>
      <c r="C6" s="64" t="n">
        <v>0.034</v>
      </c>
      <c r="D6" s="58" t="n">
        <v>1280000</v>
      </c>
      <c r="E6" s="64" t="n">
        <v>0.028</v>
      </c>
      <c r="F6" s="26" t="n">
        <v>0.924</v>
      </c>
      <c r="G6" s="33" t="n">
        <v>60.2</v>
      </c>
    </row>
    <row r="7" customFormat="false" ht="19.5" hidden="false" customHeight="true" outlineLevel="0" collapsed="false">
      <c r="A7" s="41" t="s">
        <v>127</v>
      </c>
      <c r="B7" s="19" t="n">
        <v>3104000</v>
      </c>
      <c r="C7" s="20" t="n">
        <v>0.051</v>
      </c>
      <c r="D7" s="57" t="n">
        <v>941800</v>
      </c>
      <c r="E7" s="65" t="n">
        <v>0.042</v>
      </c>
      <c r="F7" s="21" t="n">
        <v>0.881</v>
      </c>
      <c r="G7" s="31" t="n">
        <v>47.2</v>
      </c>
    </row>
    <row r="8" customFormat="false" ht="19.5" hidden="false" customHeight="true" outlineLevel="0" collapsed="false">
      <c r="A8" s="45" t="s">
        <v>128</v>
      </c>
      <c r="B8" s="25" t="n">
        <v>1042000</v>
      </c>
      <c r="C8" s="20" t="n">
        <v>0.112</v>
      </c>
      <c r="D8" s="58" t="n">
        <v>316600</v>
      </c>
      <c r="E8" s="20" t="n">
        <v>0.091</v>
      </c>
      <c r="F8" s="26" t="n">
        <v>0.493</v>
      </c>
      <c r="G8" s="33" t="n">
        <v>28.4</v>
      </c>
    </row>
    <row r="9" customFormat="false" ht="19.5" hidden="false" customHeight="true" outlineLevel="0" collapsed="false">
      <c r="A9" s="41" t="s">
        <v>129</v>
      </c>
      <c r="B9" s="19" t="n">
        <v>821000</v>
      </c>
      <c r="C9" s="65" t="n">
        <v>-0.048</v>
      </c>
      <c r="D9" s="57" t="n">
        <v>248200</v>
      </c>
      <c r="E9" s="66" t="n">
        <v>-0.061</v>
      </c>
      <c r="F9" s="21" t="n">
        <v>0.442</v>
      </c>
      <c r="G9" s="31" t="n">
        <v>24.8</v>
      </c>
    </row>
    <row r="10" customFormat="false" ht="19.5" hidden="false" customHeight="true" outlineLevel="0" collapsed="false">
      <c r="A10" s="45" t="s">
        <v>130</v>
      </c>
      <c r="B10" s="25" t="n">
        <v>614000</v>
      </c>
      <c r="C10" s="64" t="n">
        <v>0.008</v>
      </c>
      <c r="D10" s="58" t="n">
        <v>186300</v>
      </c>
      <c r="E10" s="64" t="n">
        <v>0.002</v>
      </c>
      <c r="F10" s="26" t="n">
        <v>0.387</v>
      </c>
      <c r="G10" s="33" t="n">
        <v>21.2</v>
      </c>
    </row>
    <row r="11" customFormat="false" ht="19.5" hidden="false" customHeight="true" outlineLevel="0" collapsed="false">
      <c r="A11" s="41" t="s">
        <v>131</v>
      </c>
      <c r="B11" s="19" t="n">
        <v>398000</v>
      </c>
      <c r="C11" s="66" t="n">
        <v>-0.072</v>
      </c>
      <c r="D11" s="57" t="n">
        <v>120500</v>
      </c>
      <c r="E11" s="66" t="n">
        <v>-0.089</v>
      </c>
      <c r="F11" s="21" t="n">
        <v>0.321</v>
      </c>
      <c r="G11" s="31" t="n">
        <v>16.6</v>
      </c>
    </row>
    <row r="12" customFormat="false" ht="19.5" hidden="false" customHeight="true" outlineLevel="0" collapsed="false">
      <c r="A12" s="45" t="s">
        <v>132</v>
      </c>
      <c r="B12" s="25" t="n">
        <v>892000</v>
      </c>
      <c r="C12" s="64" t="n">
        <v>0.021</v>
      </c>
      <c r="D12" s="58" t="n">
        <v>270700</v>
      </c>
      <c r="E12" s="64" t="n">
        <v>0.016</v>
      </c>
      <c r="F12" s="26" t="n">
        <v>0.286</v>
      </c>
      <c r="G12" s="33" t="n">
        <v>12.4</v>
      </c>
    </row>
    <row r="13" customFormat="false" ht="21.75" hidden="false" customHeight="true" outlineLevel="0" collapsed="false">
      <c r="A13" s="48" t="s">
        <v>133</v>
      </c>
      <c r="B13" s="50" t="n">
        <f aca="false">SUM(B5:B12)</f>
        <v>12703400</v>
      </c>
      <c r="C13" s="49"/>
      <c r="D13" s="49"/>
      <c r="E13" s="49"/>
      <c r="F13" s="49"/>
      <c r="G13" s="49"/>
    </row>
    <row r="15" customFormat="false" ht="21.75" hidden="false" customHeight="true" outlineLevel="0" collapsed="false">
      <c r="A15" s="59" t="s">
        <v>134</v>
      </c>
      <c r="B15" s="59"/>
      <c r="C15" s="59"/>
      <c r="D15" s="59"/>
      <c r="E15" s="59"/>
      <c r="F15" s="59"/>
      <c r="G15" s="59"/>
    </row>
  </sheetData>
  <mergeCells count="3">
    <mergeCell ref="A1:G1"/>
    <mergeCell ref="A2:G2"/>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4" min="2" style="0" width="11"/>
  </cols>
  <sheetData>
    <row r="1" customFormat="false" ht="36" hidden="false" customHeight="true" outlineLevel="0" collapsed="false">
      <c r="A1" s="9" t="s">
        <v>135</v>
      </c>
      <c r="B1" s="9"/>
      <c r="C1" s="9"/>
      <c r="D1" s="9"/>
      <c r="E1" s="9"/>
      <c r="F1" s="9"/>
      <c r="G1" s="9"/>
      <c r="H1" s="9"/>
      <c r="I1" s="9"/>
      <c r="J1" s="9"/>
      <c r="K1" s="9"/>
      <c r="L1" s="9"/>
      <c r="M1" s="9"/>
      <c r="N1" s="9"/>
    </row>
    <row r="2" customFormat="false" ht="18" hidden="false" customHeight="true" outlineLevel="0" collapsed="false">
      <c r="A2" s="10" t="s">
        <v>136</v>
      </c>
      <c r="B2" s="10"/>
      <c r="C2" s="10"/>
      <c r="D2" s="10"/>
      <c r="E2" s="10"/>
      <c r="F2" s="10"/>
      <c r="G2" s="10"/>
      <c r="H2" s="10"/>
      <c r="I2" s="10"/>
      <c r="J2" s="10"/>
      <c r="K2" s="10"/>
      <c r="L2" s="10"/>
      <c r="M2" s="10"/>
      <c r="N2" s="10"/>
    </row>
    <row r="3" customFormat="false" ht="7.5" hidden="false" customHeight="true" outlineLevel="0" collapsed="false"/>
    <row r="4" customFormat="false" ht="36" hidden="false" customHeight="true" outlineLevel="0" collapsed="false">
      <c r="A4" s="67" t="s">
        <v>56</v>
      </c>
      <c r="B4" s="15" t="s">
        <v>137</v>
      </c>
      <c r="C4" s="15" t="s">
        <v>138</v>
      </c>
      <c r="D4" s="15" t="s">
        <v>139</v>
      </c>
      <c r="E4" s="15" t="s">
        <v>140</v>
      </c>
      <c r="F4" s="15" t="s">
        <v>141</v>
      </c>
      <c r="G4" s="15" t="s">
        <v>142</v>
      </c>
      <c r="H4" s="15" t="s">
        <v>143</v>
      </c>
      <c r="I4" s="15" t="s">
        <v>144</v>
      </c>
      <c r="J4" s="15" t="s">
        <v>145</v>
      </c>
      <c r="K4" s="15" t="s">
        <v>146</v>
      </c>
      <c r="L4" s="15" t="s">
        <v>147</v>
      </c>
      <c r="M4" s="15" t="s">
        <v>148</v>
      </c>
      <c r="N4" s="68" t="s">
        <v>149</v>
      </c>
    </row>
    <row r="5" customFormat="false" ht="19.5" hidden="false" customHeight="true" outlineLevel="0" collapsed="false">
      <c r="A5" s="18" t="s">
        <v>43</v>
      </c>
      <c r="B5" s="19" t="n">
        <v>98200</v>
      </c>
      <c r="C5" s="19" t="n">
        <v>112400</v>
      </c>
      <c r="D5" s="19" t="n">
        <v>89600</v>
      </c>
      <c r="E5" s="19" t="n">
        <v>104800</v>
      </c>
      <c r="F5" s="19" t="n">
        <v>118600</v>
      </c>
      <c r="G5" s="19" t="n">
        <v>124200</v>
      </c>
      <c r="H5" s="19" t="n">
        <v>131800</v>
      </c>
      <c r="I5" s="19" t="n">
        <v>128400</v>
      </c>
      <c r="J5" s="19" t="n">
        <v>133600</v>
      </c>
      <c r="K5" s="19" t="n">
        <v>136200</v>
      </c>
      <c r="L5" s="19" t="n">
        <v>138800</v>
      </c>
      <c r="M5" s="19" t="n">
        <v>140200</v>
      </c>
      <c r="N5" s="69" t="n">
        <v>142860</v>
      </c>
    </row>
    <row r="6" customFormat="false" ht="19.5" hidden="false" customHeight="true" outlineLevel="0" collapsed="false">
      <c r="A6" s="24" t="s">
        <v>150</v>
      </c>
      <c r="B6" s="26" t="n">
        <v>0.542</v>
      </c>
      <c r="C6" s="26" t="n">
        <v>0.548</v>
      </c>
      <c r="D6" s="26" t="n">
        <v>0.551</v>
      </c>
      <c r="E6" s="26" t="n">
        <v>0.554</v>
      </c>
      <c r="F6" s="26" t="n">
        <v>0.562</v>
      </c>
      <c r="G6" s="26" t="n">
        <v>0.57</v>
      </c>
      <c r="H6" s="26" t="n">
        <v>0.578</v>
      </c>
      <c r="I6" s="26" t="n">
        <v>0.584</v>
      </c>
      <c r="J6" s="26" t="n">
        <v>0.591</v>
      </c>
      <c r="K6" s="26" t="n">
        <v>0.6</v>
      </c>
      <c r="L6" s="26" t="n">
        <v>0.608</v>
      </c>
      <c r="M6" s="26" t="n">
        <v>0.61</v>
      </c>
      <c r="N6" s="70" t="n">
        <v>0.612</v>
      </c>
    </row>
    <row r="7" customFormat="false" ht="19.5" hidden="false" customHeight="true" outlineLevel="0" collapsed="false">
      <c r="A7" s="18" t="s">
        <v>124</v>
      </c>
      <c r="B7" s="31" t="n">
        <v>18118.1</v>
      </c>
      <c r="C7" s="31" t="n">
        <v>20510.9</v>
      </c>
      <c r="D7" s="31" t="n">
        <v>16261.3</v>
      </c>
      <c r="E7" s="31" t="n">
        <v>18917</v>
      </c>
      <c r="F7" s="31" t="n">
        <v>21103.2</v>
      </c>
      <c r="G7" s="31" t="n">
        <v>21789.5</v>
      </c>
      <c r="H7" s="31" t="n">
        <v>22802.8</v>
      </c>
      <c r="I7" s="31" t="n">
        <v>21986.3</v>
      </c>
      <c r="J7" s="31" t="n">
        <v>22605.8</v>
      </c>
      <c r="K7" s="31" t="n">
        <v>22700</v>
      </c>
      <c r="L7" s="31" t="n">
        <v>22828.9</v>
      </c>
      <c r="M7" s="31" t="n">
        <v>22983.6</v>
      </c>
      <c r="N7" s="30" t="n">
        <v>23343.1</v>
      </c>
    </row>
    <row r="8" customFormat="false" ht="19.5" hidden="false" customHeight="true" outlineLevel="0" collapsed="false">
      <c r="A8" s="24" t="s">
        <v>151</v>
      </c>
      <c r="B8" s="58" t="n">
        <v>1400</v>
      </c>
      <c r="C8" s="58" t="n">
        <v>1435</v>
      </c>
      <c r="D8" s="58" t="n">
        <v>1470</v>
      </c>
      <c r="E8" s="58" t="n">
        <v>1505</v>
      </c>
      <c r="F8" s="58" t="n">
        <v>1540</v>
      </c>
      <c r="G8" s="58" t="n">
        <v>1575</v>
      </c>
      <c r="H8" s="58" t="n">
        <v>1610</v>
      </c>
      <c r="I8" s="58" t="n">
        <v>1645</v>
      </c>
      <c r="J8" s="58" t="n">
        <v>1680</v>
      </c>
      <c r="K8" s="58" t="n">
        <v>1715</v>
      </c>
      <c r="L8" s="58" t="n">
        <v>1750</v>
      </c>
      <c r="M8" s="58" t="n">
        <v>1785</v>
      </c>
      <c r="N8" s="71" t="n">
        <v>1820</v>
      </c>
    </row>
    <row r="9" customFormat="false" ht="19.5" hidden="false" customHeight="true" outlineLevel="0" collapsed="false">
      <c r="A9" s="18" t="s">
        <v>152</v>
      </c>
      <c r="B9" s="20" t="n">
        <v>0.32345013477089</v>
      </c>
      <c r="C9" s="20" t="n">
        <v>0.347721822541966</v>
      </c>
      <c r="D9" s="20" t="n">
        <v>0.302325581395349</v>
      </c>
      <c r="E9" s="20" t="n">
        <v>0.316582914572864</v>
      </c>
      <c r="F9" s="20" t="n">
        <v>0.344671201814059</v>
      </c>
      <c r="G9" s="20" t="n">
        <v>0.329764453961456</v>
      </c>
      <c r="H9" s="20" t="n">
        <v>0.336713995943205</v>
      </c>
      <c r="I9" s="20" t="n">
        <v>0.320987654320988</v>
      </c>
      <c r="J9" s="20" t="n">
        <v>0.317554240631164</v>
      </c>
      <c r="K9" s="20" t="n">
        <v>0.319767441860465</v>
      </c>
      <c r="L9" s="20" t="n">
        <v>0.314393939393939</v>
      </c>
      <c r="M9" s="20" t="n">
        <v>0.312734082397004</v>
      </c>
      <c r="N9" s="20" t="n">
        <v>0.454786150712831</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2026-06-01T20:44:22Z</dcterms:created>
  <dc:creator>openpyxl</dc:creator>
  <dc:description/>
  <dc:language>en-US</dc:language>
  <cp:lastModifiedBy/>
  <dcterms:modified xsi:type="dcterms:W3CDTF">2026-06-01T20:44:23Z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