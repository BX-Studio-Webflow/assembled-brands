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 as of Mar 2026" sheetId="1" r:id="rId4"/>
  </sheets>
  <definedNames/>
  <calcPr/>
  <extLst>
    <ext uri="GoogleSheetsCustomDataVersion2">
      <go:sheetsCustomData xmlns:go="http://customooxmlschemas.google.com/" r:id="rId5" roundtripDataChecksum="qiTDudTY8Ews5Nbow4BNup+FMfK44QfcWjbCJfTDah4="/>
    </ext>
  </extLst>
</workbook>
</file>

<file path=xl/sharedStrings.xml><?xml version="1.0" encoding="utf-8"?>
<sst xmlns="http://schemas.openxmlformats.org/spreadsheetml/2006/main" count="89" uniqueCount="75">
  <si>
    <t>Example Company</t>
  </si>
  <si>
    <t>Balance Sheet</t>
  </si>
  <si>
    <t>2026 Projections</t>
  </si>
  <si>
    <t/>
  </si>
  <si>
    <t>Forecast</t>
  </si>
  <si>
    <t>Financial Row</t>
  </si>
  <si>
    <t>ASSETS</t>
  </si>
  <si>
    <t>Current Assets</t>
  </si>
  <si>
    <t>Bank</t>
  </si>
  <si>
    <t>1001 - Bank Account X6587</t>
  </si>
  <si>
    <t>1002 - Bank Operating x1135</t>
  </si>
  <si>
    <t>Total Bank</t>
  </si>
  <si>
    <t>Accounts Receivable</t>
  </si>
  <si>
    <t>1200 - Accounts Receivable (A/R)</t>
  </si>
  <si>
    <t>Total Accounts Receivable</t>
  </si>
  <si>
    <t>Other Current Asset</t>
  </si>
  <si>
    <t>1300 - Inventory</t>
  </si>
  <si>
    <t>1300-10 - Inventory Asset</t>
  </si>
  <si>
    <t>Total - 1300 - Inventory</t>
  </si>
  <si>
    <t>1501 - Prepaid Expense</t>
  </si>
  <si>
    <t>Total - 1501 - Prepaid Expense</t>
  </si>
  <si>
    <t>1555 - Trade spend Disputes</t>
  </si>
  <si>
    <t>1580 - Advances Paid</t>
  </si>
  <si>
    <t>Total Other Current Asset</t>
  </si>
  <si>
    <t>Total Current Assets</t>
  </si>
  <si>
    <t>Fixed Assets</t>
  </si>
  <si>
    <t>1600 - Fixed Asset Equipment</t>
  </si>
  <si>
    <t>1601 - Fixed Asset Furniture</t>
  </si>
  <si>
    <t>1690 - Accumulated Depreciation</t>
  </si>
  <si>
    <t>1800 - Intangible Asset</t>
  </si>
  <si>
    <t>1801 - Oracle Netsuite</t>
  </si>
  <si>
    <t>Total - 1800 - Intangible Asset</t>
  </si>
  <si>
    <t>Total Fixed Assets</t>
  </si>
  <si>
    <t>Other Assets</t>
  </si>
  <si>
    <t>1225 - Due to/from - New</t>
  </si>
  <si>
    <t>1575 - AR Trade allowance - new</t>
  </si>
  <si>
    <t>1701 - Security Deposits</t>
  </si>
  <si>
    <t>1951 - ROU Asset</t>
  </si>
  <si>
    <t>Total Other Assets</t>
  </si>
  <si>
    <t>Total ASSETS</t>
  </si>
  <si>
    <t>Liabilities &amp; Equity</t>
  </si>
  <si>
    <t>Current Liabilities</t>
  </si>
  <si>
    <t>Accounts Payable</t>
  </si>
  <si>
    <t>2000 - Accounts Payable (A/P)</t>
  </si>
  <si>
    <t>Total Accounts Payable</t>
  </si>
  <si>
    <t>Credit Card</t>
  </si>
  <si>
    <t>2009 -  Business Card 2647</t>
  </si>
  <si>
    <t>2014 -  Credit Card 0600</t>
  </si>
  <si>
    <t>Total Credit Card</t>
  </si>
  <si>
    <t>Other Current Liability</t>
  </si>
  <si>
    <t>2117 - Loan Payable - to Owners</t>
  </si>
  <si>
    <t>2130 - Accrued Payroll</t>
  </si>
  <si>
    <t>5100 - Accrued Purchases - Landed Cost</t>
  </si>
  <si>
    <t>5120 - Other Payables</t>
  </si>
  <si>
    <t>5150 - Inventory Clearing Account - Best</t>
  </si>
  <si>
    <t>5160 - Accrued Purchases</t>
  </si>
  <si>
    <t>Total Other Current Liability</t>
  </si>
  <si>
    <t>Total Current Liabilities</t>
  </si>
  <si>
    <t>Long Term Liabilities</t>
  </si>
  <si>
    <t>2202 - Long term lease liability</t>
  </si>
  <si>
    <t>2401 - EIDL Loan</t>
  </si>
  <si>
    <t>2402 - Bank - Note Payable X0201</t>
  </si>
  <si>
    <t>2403 - Bank - Note Payable X0201</t>
  </si>
  <si>
    <t>2404 - Bank - Note Payable X0201</t>
  </si>
  <si>
    <t>2405 - Bank - Note Payable X0201</t>
  </si>
  <si>
    <t>New Debt Facility</t>
  </si>
  <si>
    <t>Total Long Term Liabilities</t>
  </si>
  <si>
    <t>Equity</t>
  </si>
  <si>
    <t>3030 - Capital Contribution from Investors</t>
  </si>
  <si>
    <t>3050 - Common Stock</t>
  </si>
  <si>
    <t>Total - Equity</t>
  </si>
  <si>
    <t>Retained Earnings</t>
  </si>
  <si>
    <t>Net Income</t>
  </si>
  <si>
    <t>Total Equity</t>
  </si>
  <si>
    <t>Total Liabilities &amp;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</si>
</sst>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7">
    <font>
      <sz val="8.0"/>
      <color rgb="FF000000"/>
      <name val="Arial"/>
      <scheme val="minor"/>
    </font>
    <font>
      <b/>
      <sz val="12.0"/>
      <color theme="1"/>
      <name val="Calibri"/>
    </font>
    <font>
      <sz val="8.0"/>
      <color rgb="FF000000"/>
      <name val="Calibri"/>
    </font>
    <font>
      <b/>
      <sz val="14.0"/>
      <color theme="1"/>
      <name val="Calibri"/>
    </font>
    <font>
      <sz val="8.0"/>
      <color theme="1"/>
      <name val="Calibri"/>
    </font>
    <font>
      <b/>
      <sz val="7.0"/>
      <color theme="1"/>
      <name val="Calibri"/>
    </font>
    <font>
      <b/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4">
    <border/>
    <border>
      <left/>
      <right/>
      <top/>
      <bottom/>
    </border>
    <border>
      <top style="dotted">
        <color rgb="FFC0C0C0"/>
      </top>
    </border>
    <border>
      <top style="dotted">
        <color rgb="FF969696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left"/>
    </xf>
    <xf borderId="1" fillId="2" fontId="5" numFmtId="14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right" vertical="center"/>
    </xf>
    <xf borderId="0" fillId="0" fontId="6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right" vertical="center"/>
    </xf>
    <xf borderId="2" fillId="0" fontId="6" numFmtId="0" xfId="0" applyAlignment="1" applyBorder="1" applyFont="1">
      <alignment horizontal="left"/>
    </xf>
    <xf borderId="2" fillId="0" fontId="6" numFmtId="164" xfId="0" applyAlignment="1" applyBorder="1" applyFont="1" applyNumberFormat="1">
      <alignment horizontal="right" vertical="center"/>
    </xf>
    <xf borderId="3" fillId="0" fontId="6" numFmtId="0" xfId="0" applyAlignment="1" applyBorder="1" applyFont="1">
      <alignment horizontal="left"/>
    </xf>
    <xf borderId="3" fillId="0" fontId="6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 readingOrder="0"/>
    </xf>
    <xf borderId="3" fillId="0" fontId="6" numFmtId="0" xfId="0" applyAlignment="1" applyBorder="1" applyFont="1">
      <alignment horizontal="left" vertic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47.17"/>
    <col customWidth="1" min="2" max="13" width="15.17"/>
    <col customWidth="1" min="14" max="26" width="9.17"/>
  </cols>
  <sheetData>
    <row r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3" t="s">
        <v>3</v>
      </c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3" t="s">
        <v>3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5" t="s">
        <v>5</v>
      </c>
      <c r="B6" s="6">
        <v>46053.0</v>
      </c>
      <c r="C6" s="6">
        <f t="shared" ref="C6:M6" si="1">+EOMONTH(B6,1)</f>
        <v>46081</v>
      </c>
      <c r="D6" s="6">
        <f t="shared" si="1"/>
        <v>46112</v>
      </c>
      <c r="E6" s="6">
        <f t="shared" si="1"/>
        <v>46142</v>
      </c>
      <c r="F6" s="6">
        <f t="shared" si="1"/>
        <v>46173</v>
      </c>
      <c r="G6" s="6">
        <f t="shared" si="1"/>
        <v>46203</v>
      </c>
      <c r="H6" s="6">
        <f t="shared" si="1"/>
        <v>46234</v>
      </c>
      <c r="I6" s="6">
        <f t="shared" si="1"/>
        <v>46265</v>
      </c>
      <c r="J6" s="6">
        <f t="shared" si="1"/>
        <v>46295</v>
      </c>
      <c r="K6" s="6">
        <f t="shared" si="1"/>
        <v>46326</v>
      </c>
      <c r="L6" s="6">
        <f t="shared" si="1"/>
        <v>46356</v>
      </c>
      <c r="M6" s="6">
        <f t="shared" si="1"/>
        <v>46387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7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9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10" t="s">
        <v>9</v>
      </c>
      <c r="B10" s="11">
        <v>2622.09</v>
      </c>
      <c r="C10" s="11">
        <v>2622.09</v>
      </c>
      <c r="D10" s="11">
        <v>2622.09</v>
      </c>
      <c r="E10" s="11">
        <v>4630.542723405877</v>
      </c>
      <c r="F10" s="11">
        <v>5705.505695174528</v>
      </c>
      <c r="G10" s="11">
        <v>151291.99494265308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10" t="s">
        <v>10</v>
      </c>
      <c r="B11" s="11">
        <v>90810.77</v>
      </c>
      <c r="C11" s="11">
        <v>90810.77</v>
      </c>
      <c r="D11" s="11">
        <v>90810.77</v>
      </c>
      <c r="E11" s="11">
        <v>160369.45727659413</v>
      </c>
      <c r="F11" s="11">
        <v>197598.61996277174</v>
      </c>
      <c r="G11" s="11">
        <v>5239691.450552206</v>
      </c>
      <c r="H11" s="11">
        <v>4563018.724683074</v>
      </c>
      <c r="I11" s="11">
        <v>4585829.412077099</v>
      </c>
      <c r="J11" s="11">
        <v>3558521.4145807484</v>
      </c>
      <c r="K11" s="11">
        <v>4549640.542409364</v>
      </c>
      <c r="L11" s="11">
        <v>4141244.0462320643</v>
      </c>
      <c r="M11" s="11">
        <v>4188378.7458704296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12" t="s">
        <v>11</v>
      </c>
      <c r="B12" s="13">
        <f t="shared" ref="B12:M12" si="2">SUM(B10:B11)</f>
        <v>93432.86</v>
      </c>
      <c r="C12" s="13">
        <f t="shared" si="2"/>
        <v>93432.86</v>
      </c>
      <c r="D12" s="13">
        <f t="shared" si="2"/>
        <v>93432.86</v>
      </c>
      <c r="E12" s="13">
        <f t="shared" si="2"/>
        <v>165000</v>
      </c>
      <c r="F12" s="13">
        <f t="shared" si="2"/>
        <v>203304.1257</v>
      </c>
      <c r="G12" s="13">
        <f t="shared" si="2"/>
        <v>5390983.445</v>
      </c>
      <c r="H12" s="13">
        <f t="shared" si="2"/>
        <v>4563018.725</v>
      </c>
      <c r="I12" s="13">
        <f t="shared" si="2"/>
        <v>4585829.412</v>
      </c>
      <c r="J12" s="13">
        <f t="shared" si="2"/>
        <v>3558521.415</v>
      </c>
      <c r="K12" s="13">
        <f t="shared" si="2"/>
        <v>4549640.542</v>
      </c>
      <c r="L12" s="13">
        <f t="shared" si="2"/>
        <v>4141244.046</v>
      </c>
      <c r="M12" s="13">
        <f t="shared" si="2"/>
        <v>4188378.746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" t="s">
        <v>12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10" t="s">
        <v>13</v>
      </c>
      <c r="B14" s="11">
        <v>2027570.05</v>
      </c>
      <c r="C14" s="11">
        <v>2027570.05</v>
      </c>
      <c r="D14" s="11">
        <v>2027570.05</v>
      </c>
      <c r="E14" s="11">
        <v>2500000.0</v>
      </c>
      <c r="F14" s="11">
        <v>2391509.126555723</v>
      </c>
      <c r="G14" s="11">
        <v>2320961.3960117474</v>
      </c>
      <c r="H14" s="11">
        <v>2419881.32528843</v>
      </c>
      <c r="I14" s="11">
        <v>2679115.510362346</v>
      </c>
      <c r="J14" s="11">
        <v>3228382.9842268405</v>
      </c>
      <c r="K14" s="11">
        <v>2878060.915571675</v>
      </c>
      <c r="L14" s="11">
        <v>3347440.596629429</v>
      </c>
      <c r="M14" s="11">
        <v>3601632.406596724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12" t="s">
        <v>14</v>
      </c>
      <c r="B15" s="13">
        <f t="shared" ref="B15:M15" si="3">SUM(B14)</f>
        <v>2027570.05</v>
      </c>
      <c r="C15" s="13">
        <f t="shared" si="3"/>
        <v>2027570.05</v>
      </c>
      <c r="D15" s="13">
        <f t="shared" si="3"/>
        <v>2027570.05</v>
      </c>
      <c r="E15" s="13">
        <f t="shared" si="3"/>
        <v>2500000</v>
      </c>
      <c r="F15" s="13">
        <f t="shared" si="3"/>
        <v>2391509.127</v>
      </c>
      <c r="G15" s="13">
        <f t="shared" si="3"/>
        <v>2320961.396</v>
      </c>
      <c r="H15" s="13">
        <f t="shared" si="3"/>
        <v>2419881.325</v>
      </c>
      <c r="I15" s="13">
        <f t="shared" si="3"/>
        <v>2679115.51</v>
      </c>
      <c r="J15" s="13">
        <f t="shared" si="3"/>
        <v>3228382.984</v>
      </c>
      <c r="K15" s="13">
        <f t="shared" si="3"/>
        <v>2878060.916</v>
      </c>
      <c r="L15" s="13">
        <f t="shared" si="3"/>
        <v>3347440.597</v>
      </c>
      <c r="M15" s="13">
        <f t="shared" si="3"/>
        <v>3601632.407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" t="s">
        <v>15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" t="s">
        <v>16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10" t="s">
        <v>17</v>
      </c>
      <c r="B18" s="11">
        <v>4224019.96</v>
      </c>
      <c r="C18" s="11">
        <v>4224019.96</v>
      </c>
      <c r="D18" s="11">
        <v>4224019.96</v>
      </c>
      <c r="E18" s="11">
        <v>4050000.0</v>
      </c>
      <c r="F18" s="11">
        <v>4111234.1472080457</v>
      </c>
      <c r="G18" s="11">
        <v>3925417.16794224</v>
      </c>
      <c r="H18" s="11">
        <v>3922346.525222325</v>
      </c>
      <c r="I18" s="11">
        <v>3897901.853183482</v>
      </c>
      <c r="J18" s="11">
        <v>4912554.766163375</v>
      </c>
      <c r="K18" s="11">
        <v>3795326.7033947324</v>
      </c>
      <c r="L18" s="11">
        <v>4232418.855430269</v>
      </c>
      <c r="M18" s="11">
        <v>4330238.773212186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12" t="s">
        <v>18</v>
      </c>
      <c r="B19" s="13">
        <f t="shared" ref="B19:M19" si="4">SUM(B18)</f>
        <v>4224019.96</v>
      </c>
      <c r="C19" s="13">
        <f t="shared" si="4"/>
        <v>4224019.96</v>
      </c>
      <c r="D19" s="13">
        <f t="shared" si="4"/>
        <v>4224019.96</v>
      </c>
      <c r="E19" s="13">
        <f t="shared" si="4"/>
        <v>4050000</v>
      </c>
      <c r="F19" s="13">
        <f t="shared" si="4"/>
        <v>4111234.147</v>
      </c>
      <c r="G19" s="13">
        <f t="shared" si="4"/>
        <v>3925417.168</v>
      </c>
      <c r="H19" s="13">
        <f t="shared" si="4"/>
        <v>3922346.525</v>
      </c>
      <c r="I19" s="13">
        <f t="shared" si="4"/>
        <v>3897901.853</v>
      </c>
      <c r="J19" s="13">
        <f t="shared" si="4"/>
        <v>4912554.766</v>
      </c>
      <c r="K19" s="13">
        <f t="shared" si="4"/>
        <v>3795326.703</v>
      </c>
      <c r="L19" s="13">
        <f t="shared" si="4"/>
        <v>4232418.855</v>
      </c>
      <c r="M19" s="13">
        <f t="shared" si="4"/>
        <v>4330238.773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" t="s">
        <v>19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10" t="s">
        <v>19</v>
      </c>
      <c r="B21" s="11">
        <v>844633.79</v>
      </c>
      <c r="C21" s="11">
        <v>844633.79</v>
      </c>
      <c r="D21" s="11">
        <v>844633.79</v>
      </c>
      <c r="E21" s="11">
        <v>284944.39234849514</v>
      </c>
      <c r="F21" s="11">
        <v>316523.2667500221</v>
      </c>
      <c r="G21" s="11">
        <v>307186.0671192019</v>
      </c>
      <c r="H21" s="11">
        <v>320278.41069993924</v>
      </c>
      <c r="I21" s="11">
        <v>354588.8175479576</v>
      </c>
      <c r="J21" s="11">
        <v>427285.9832064936</v>
      </c>
      <c r="K21" s="11">
        <v>380919.82706095703</v>
      </c>
      <c r="L21" s="11">
        <v>443043.6083774244</v>
      </c>
      <c r="M21" s="11">
        <v>476686.6420495664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12" t="s">
        <v>20</v>
      </c>
      <c r="B22" s="13">
        <f t="shared" ref="B22:M22" si="5">SUM(B21)</f>
        <v>844633.79</v>
      </c>
      <c r="C22" s="13">
        <f t="shared" si="5"/>
        <v>844633.79</v>
      </c>
      <c r="D22" s="13">
        <f t="shared" si="5"/>
        <v>844633.79</v>
      </c>
      <c r="E22" s="13">
        <f t="shared" si="5"/>
        <v>284944.3923</v>
      </c>
      <c r="F22" s="13">
        <f t="shared" si="5"/>
        <v>316523.2668</v>
      </c>
      <c r="G22" s="13">
        <f t="shared" si="5"/>
        <v>307186.0671</v>
      </c>
      <c r="H22" s="13">
        <f t="shared" si="5"/>
        <v>320278.4107</v>
      </c>
      <c r="I22" s="13">
        <f t="shared" si="5"/>
        <v>354588.8175</v>
      </c>
      <c r="J22" s="13">
        <f t="shared" si="5"/>
        <v>427285.9832</v>
      </c>
      <c r="K22" s="13">
        <f t="shared" si="5"/>
        <v>380919.8271</v>
      </c>
      <c r="L22" s="13">
        <f t="shared" si="5"/>
        <v>443043.6084</v>
      </c>
      <c r="M22" s="13">
        <f t="shared" si="5"/>
        <v>476686.642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10" t="s">
        <v>21</v>
      </c>
      <c r="B23" s="11">
        <v>96159.69</v>
      </c>
      <c r="C23" s="11">
        <v>96159.69</v>
      </c>
      <c r="D23" s="11">
        <v>96159.69</v>
      </c>
      <c r="E23" s="11">
        <v>64106.46</v>
      </c>
      <c r="F23" s="11">
        <v>32053.23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10" t="s">
        <v>22</v>
      </c>
      <c r="B24" s="11">
        <v>310275.1400000133</v>
      </c>
      <c r="C24" s="11">
        <v>310275.1400000133</v>
      </c>
      <c r="D24" s="11">
        <v>310275.1400000133</v>
      </c>
      <c r="E24" s="11">
        <v>295650.0</v>
      </c>
      <c r="F24" s="11">
        <v>300120.0927461873</v>
      </c>
      <c r="G24" s="11">
        <v>286555.4532597835</v>
      </c>
      <c r="H24" s="11">
        <v>286331.2963412297</v>
      </c>
      <c r="I24" s="11">
        <v>284546.83528239414</v>
      </c>
      <c r="J24" s="11">
        <v>358616.4979299264</v>
      </c>
      <c r="K24" s="11">
        <v>277058.84934781544</v>
      </c>
      <c r="L24" s="11">
        <v>308966.57644640957</v>
      </c>
      <c r="M24" s="11">
        <v>316107.4304444896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12" t="s">
        <v>23</v>
      </c>
      <c r="B25" s="13">
        <f t="shared" ref="B25:M25" si="6">SUM(B19,B22:B24)</f>
        <v>5475088.58</v>
      </c>
      <c r="C25" s="13">
        <f t="shared" si="6"/>
        <v>5475088.58</v>
      </c>
      <c r="D25" s="13">
        <f t="shared" si="6"/>
        <v>5475088.58</v>
      </c>
      <c r="E25" s="13">
        <f t="shared" si="6"/>
        <v>4694700.852</v>
      </c>
      <c r="F25" s="13">
        <f t="shared" si="6"/>
        <v>4759930.737</v>
      </c>
      <c r="G25" s="13">
        <f t="shared" si="6"/>
        <v>4519158.688</v>
      </c>
      <c r="H25" s="13">
        <f t="shared" si="6"/>
        <v>4528956.232</v>
      </c>
      <c r="I25" s="13">
        <f t="shared" si="6"/>
        <v>4537037.506</v>
      </c>
      <c r="J25" s="13">
        <f t="shared" si="6"/>
        <v>5698457.247</v>
      </c>
      <c r="K25" s="13">
        <f t="shared" si="6"/>
        <v>4453305.38</v>
      </c>
      <c r="L25" s="13">
        <f t="shared" si="6"/>
        <v>4984429.04</v>
      </c>
      <c r="M25" s="13">
        <f t="shared" si="6"/>
        <v>5123032.846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14" t="s">
        <v>24</v>
      </c>
      <c r="B26" s="15">
        <f t="shared" ref="B26:D26" si="7">B12+B15+0+B25</f>
        <v>7596091.49</v>
      </c>
      <c r="C26" s="15">
        <f t="shared" si="7"/>
        <v>7596091.49</v>
      </c>
      <c r="D26" s="15">
        <f t="shared" si="7"/>
        <v>7596091.49</v>
      </c>
      <c r="E26" s="15">
        <f t="shared" ref="E26:M26" si="8">E12+E15+E25</f>
        <v>7359700.852</v>
      </c>
      <c r="F26" s="15">
        <f t="shared" si="8"/>
        <v>7354743.989</v>
      </c>
      <c r="G26" s="15">
        <f t="shared" si="8"/>
        <v>12231103.53</v>
      </c>
      <c r="H26" s="15">
        <f t="shared" si="8"/>
        <v>11511856.28</v>
      </c>
      <c r="I26" s="15">
        <f t="shared" si="8"/>
        <v>11801982.43</v>
      </c>
      <c r="J26" s="15">
        <f t="shared" si="8"/>
        <v>12485361.65</v>
      </c>
      <c r="K26" s="15">
        <f t="shared" si="8"/>
        <v>11881006.84</v>
      </c>
      <c r="L26" s="15">
        <f t="shared" si="8"/>
        <v>12473113.68</v>
      </c>
      <c r="M26" s="15">
        <f t="shared" si="8"/>
        <v>12913044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9" t="s">
        <v>25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10" t="s">
        <v>26</v>
      </c>
      <c r="B28" s="11">
        <v>63108.52</v>
      </c>
      <c r="C28" s="11">
        <v>63108.52</v>
      </c>
      <c r="D28" s="11">
        <v>63108.52</v>
      </c>
      <c r="E28" s="11">
        <v>63108.52</v>
      </c>
      <c r="F28" s="11">
        <v>63108.52</v>
      </c>
      <c r="G28" s="11">
        <v>63108.52</v>
      </c>
      <c r="H28" s="11">
        <v>63108.52</v>
      </c>
      <c r="I28" s="11">
        <v>63108.52</v>
      </c>
      <c r="J28" s="11">
        <v>63108.52</v>
      </c>
      <c r="K28" s="11">
        <v>63108.52</v>
      </c>
      <c r="L28" s="11">
        <v>63108.52</v>
      </c>
      <c r="M28" s="11">
        <v>63108.52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10" t="s">
        <v>27</v>
      </c>
      <c r="B29" s="11">
        <v>8782.0</v>
      </c>
      <c r="C29" s="11">
        <v>8782.0</v>
      </c>
      <c r="D29" s="11">
        <v>8782.0</v>
      </c>
      <c r="E29" s="11">
        <v>8782.0</v>
      </c>
      <c r="F29" s="11">
        <v>8782.0</v>
      </c>
      <c r="G29" s="11">
        <v>8782.0</v>
      </c>
      <c r="H29" s="11">
        <v>8782.0</v>
      </c>
      <c r="I29" s="11">
        <v>8782.0</v>
      </c>
      <c r="J29" s="11">
        <v>8782.0</v>
      </c>
      <c r="K29" s="11">
        <v>8782.0</v>
      </c>
      <c r="L29" s="11">
        <v>8782.0</v>
      </c>
      <c r="M29" s="11">
        <v>8782.0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10" t="s">
        <v>28</v>
      </c>
      <c r="B30" s="11">
        <v>-52318.61</v>
      </c>
      <c r="C30" s="11">
        <v>-52318.61</v>
      </c>
      <c r="D30" s="11">
        <v>-52318.61</v>
      </c>
      <c r="E30" s="11">
        <v>-52999.29</v>
      </c>
      <c r="F30" s="11">
        <v>-53679.97</v>
      </c>
      <c r="G30" s="11">
        <v>-54360.65</v>
      </c>
      <c r="H30" s="11">
        <v>-55041.33</v>
      </c>
      <c r="I30" s="11">
        <v>-55722.01</v>
      </c>
      <c r="J30" s="11">
        <v>-56402.69</v>
      </c>
      <c r="K30" s="11">
        <v>-57083.37</v>
      </c>
      <c r="L30" s="11">
        <v>-57764.05</v>
      </c>
      <c r="M30" s="11">
        <v>-58444.73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9" t="s">
        <v>29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10" t="s">
        <v>30</v>
      </c>
      <c r="B32" s="11">
        <v>502.04</v>
      </c>
      <c r="C32" s="11">
        <v>502.04</v>
      </c>
      <c r="D32" s="11">
        <v>502.04</v>
      </c>
      <c r="E32" s="11">
        <v>-904.0799999999999</v>
      </c>
      <c r="F32" s="11">
        <v>-2310.2</v>
      </c>
      <c r="G32" s="11">
        <v>-3716.3199999999997</v>
      </c>
      <c r="H32" s="11">
        <v>-5122.44</v>
      </c>
      <c r="I32" s="11">
        <v>-6528.5599999999995</v>
      </c>
      <c r="J32" s="11">
        <v>-7934.679999999999</v>
      </c>
      <c r="K32" s="11">
        <v>-9340.8</v>
      </c>
      <c r="L32" s="11">
        <v>-10746.919999999998</v>
      </c>
      <c r="M32" s="11">
        <v>-12153.039999999997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12" t="s">
        <v>31</v>
      </c>
      <c r="B33" s="13">
        <f t="shared" ref="B33:M33" si="9">SUM(B32)</f>
        <v>502.04</v>
      </c>
      <c r="C33" s="13">
        <f t="shared" si="9"/>
        <v>502.04</v>
      </c>
      <c r="D33" s="13">
        <f t="shared" si="9"/>
        <v>502.04</v>
      </c>
      <c r="E33" s="13">
        <f t="shared" si="9"/>
        <v>-904.08</v>
      </c>
      <c r="F33" s="13">
        <f t="shared" si="9"/>
        <v>-2310.2</v>
      </c>
      <c r="G33" s="13">
        <f t="shared" si="9"/>
        <v>-3716.32</v>
      </c>
      <c r="H33" s="13">
        <f t="shared" si="9"/>
        <v>-5122.44</v>
      </c>
      <c r="I33" s="13">
        <f t="shared" si="9"/>
        <v>-6528.56</v>
      </c>
      <c r="J33" s="13">
        <f t="shared" si="9"/>
        <v>-7934.68</v>
      </c>
      <c r="K33" s="13">
        <f t="shared" si="9"/>
        <v>-9340.8</v>
      </c>
      <c r="L33" s="13">
        <f t="shared" si="9"/>
        <v>-10746.92</v>
      </c>
      <c r="M33" s="13">
        <f t="shared" si="9"/>
        <v>-12153.04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12" t="s">
        <v>32</v>
      </c>
      <c r="B34" s="13">
        <f t="shared" ref="B34:M34" si="10">SUM(B28:B30,B33)</f>
        <v>20073.95</v>
      </c>
      <c r="C34" s="13">
        <f t="shared" si="10"/>
        <v>20073.95</v>
      </c>
      <c r="D34" s="13">
        <f t="shared" si="10"/>
        <v>20073.95</v>
      </c>
      <c r="E34" s="13">
        <f t="shared" si="10"/>
        <v>17987.15</v>
      </c>
      <c r="F34" s="13">
        <f t="shared" si="10"/>
        <v>15900.35</v>
      </c>
      <c r="G34" s="13">
        <f t="shared" si="10"/>
        <v>13813.55</v>
      </c>
      <c r="H34" s="13">
        <f t="shared" si="10"/>
        <v>11726.75</v>
      </c>
      <c r="I34" s="13">
        <f t="shared" si="10"/>
        <v>9639.95</v>
      </c>
      <c r="J34" s="13">
        <f t="shared" si="10"/>
        <v>7553.15</v>
      </c>
      <c r="K34" s="13">
        <f t="shared" si="10"/>
        <v>5466.35</v>
      </c>
      <c r="L34" s="13">
        <f t="shared" si="10"/>
        <v>3379.55</v>
      </c>
      <c r="M34" s="13">
        <f t="shared" si="10"/>
        <v>1292.75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" t="s">
        <v>33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16" t="s">
        <v>34</v>
      </c>
      <c r="B36" s="11">
        <v>686800.92</v>
      </c>
      <c r="C36" s="11">
        <v>686800.92</v>
      </c>
      <c r="D36" s="11">
        <v>686800.92</v>
      </c>
      <c r="E36" s="11">
        <v>572334.1000000001</v>
      </c>
      <c r="F36" s="11">
        <v>457867.2800000001</v>
      </c>
      <c r="G36" s="11">
        <v>343400.46</v>
      </c>
      <c r="H36" s="11">
        <v>228933.64000000004</v>
      </c>
      <c r="I36" s="11">
        <v>114466.81999999998</v>
      </c>
      <c r="J36" s="11">
        <v>0.0</v>
      </c>
      <c r="K36" s="11">
        <v>0.0</v>
      </c>
      <c r="L36" s="11">
        <v>0.0</v>
      </c>
      <c r="M36" s="11">
        <v>0.0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10" t="s">
        <v>35</v>
      </c>
      <c r="B37" s="11">
        <v>-331288.59</v>
      </c>
      <c r="C37" s="11">
        <v>-331288.59</v>
      </c>
      <c r="D37" s="11">
        <v>-331288.59</v>
      </c>
      <c r="E37" s="11">
        <v>-407500.0</v>
      </c>
      <c r="F37" s="11">
        <v>-389815.98762858286</v>
      </c>
      <c r="G37" s="11">
        <v>-378316.70754991483</v>
      </c>
      <c r="H37" s="11">
        <v>-394440.6560220141</v>
      </c>
      <c r="I37" s="11">
        <v>-436695.8281890624</v>
      </c>
      <c r="J37" s="11">
        <v>-526226.4264289751</v>
      </c>
      <c r="K37" s="11">
        <v>-469123.9292381831</v>
      </c>
      <c r="L37" s="11">
        <v>-545632.8172505969</v>
      </c>
      <c r="M37" s="11">
        <v>-587066.0822752661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10" t="s">
        <v>36</v>
      </c>
      <c r="B38" s="11">
        <v>6215.1</v>
      </c>
      <c r="C38" s="11">
        <v>6215.1</v>
      </c>
      <c r="D38" s="11">
        <v>6215.1</v>
      </c>
      <c r="E38" s="11">
        <v>6215.1</v>
      </c>
      <c r="F38" s="11">
        <v>6215.1</v>
      </c>
      <c r="G38" s="11">
        <v>6215.1</v>
      </c>
      <c r="H38" s="11">
        <v>6215.1</v>
      </c>
      <c r="I38" s="11">
        <v>6215.1</v>
      </c>
      <c r="J38" s="11">
        <v>6215.1</v>
      </c>
      <c r="K38" s="11">
        <v>6215.1</v>
      </c>
      <c r="L38" s="11">
        <v>6215.1</v>
      </c>
      <c r="M38" s="11">
        <v>6215.1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10" t="s">
        <v>37</v>
      </c>
      <c r="B39" s="11">
        <v>269797.76</v>
      </c>
      <c r="C39" s="11">
        <v>269797.76</v>
      </c>
      <c r="D39" s="11">
        <v>269797.76</v>
      </c>
      <c r="E39" s="11">
        <v>258556.18666666668</v>
      </c>
      <c r="F39" s="11">
        <v>247314.61333333334</v>
      </c>
      <c r="G39" s="11">
        <v>236073.04</v>
      </c>
      <c r="H39" s="11">
        <v>224831.46666666667</v>
      </c>
      <c r="I39" s="11">
        <v>213589.89333333334</v>
      </c>
      <c r="J39" s="11">
        <v>202348.32</v>
      </c>
      <c r="K39" s="11">
        <v>191106.74666666664</v>
      </c>
      <c r="L39" s="11">
        <v>179865.17333333337</v>
      </c>
      <c r="M39" s="11">
        <v>168623.6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12" t="s">
        <v>38</v>
      </c>
      <c r="B40" s="13">
        <f t="shared" ref="B40:M40" si="11">SUM(B36:B39)</f>
        <v>631525.19</v>
      </c>
      <c r="C40" s="13">
        <f t="shared" si="11"/>
        <v>631525.19</v>
      </c>
      <c r="D40" s="13">
        <f t="shared" si="11"/>
        <v>631525.19</v>
      </c>
      <c r="E40" s="13">
        <f t="shared" si="11"/>
        <v>429605.3867</v>
      </c>
      <c r="F40" s="13">
        <f t="shared" si="11"/>
        <v>321581.0057</v>
      </c>
      <c r="G40" s="13">
        <f t="shared" si="11"/>
        <v>207371.8925</v>
      </c>
      <c r="H40" s="13">
        <f t="shared" si="11"/>
        <v>65539.55064</v>
      </c>
      <c r="I40" s="13">
        <f t="shared" si="11"/>
        <v>-102424.0149</v>
      </c>
      <c r="J40" s="13">
        <f t="shared" si="11"/>
        <v>-317663.0064</v>
      </c>
      <c r="K40" s="13">
        <f t="shared" si="11"/>
        <v>-271802.0826</v>
      </c>
      <c r="L40" s="13">
        <f t="shared" si="11"/>
        <v>-359552.5439</v>
      </c>
      <c r="M40" s="13">
        <f t="shared" si="11"/>
        <v>-412227.3823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17" t="s">
        <v>39</v>
      </c>
      <c r="B41" s="15">
        <f t="shared" ref="B41:M41" si="12">B26+B34+B40</f>
        <v>8247690.63</v>
      </c>
      <c r="C41" s="15">
        <f t="shared" si="12"/>
        <v>8247690.63</v>
      </c>
      <c r="D41" s="15">
        <f t="shared" si="12"/>
        <v>8247690.63</v>
      </c>
      <c r="E41" s="15">
        <f t="shared" si="12"/>
        <v>7807293.389</v>
      </c>
      <c r="F41" s="15">
        <f t="shared" si="12"/>
        <v>7692225.345</v>
      </c>
      <c r="G41" s="15">
        <f t="shared" si="12"/>
        <v>12452288.97</v>
      </c>
      <c r="H41" s="15">
        <f t="shared" si="12"/>
        <v>11589122.58</v>
      </c>
      <c r="I41" s="15">
        <f t="shared" si="12"/>
        <v>11709198.36</v>
      </c>
      <c r="J41" s="15">
        <f t="shared" si="12"/>
        <v>12175251.79</v>
      </c>
      <c r="K41" s="15">
        <f t="shared" si="12"/>
        <v>11614671.11</v>
      </c>
      <c r="L41" s="15">
        <f t="shared" si="12"/>
        <v>12116940.69</v>
      </c>
      <c r="M41" s="15">
        <f t="shared" si="12"/>
        <v>12502109.37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7" t="s">
        <v>40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" t="s">
        <v>41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9" t="s">
        <v>42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10" t="s">
        <v>43</v>
      </c>
      <c r="B45" s="11">
        <v>1850521.8</v>
      </c>
      <c r="C45" s="11">
        <v>1850521.8</v>
      </c>
      <c r="D45" s="11">
        <v>1850521.8</v>
      </c>
      <c r="E45" s="11">
        <v>1820161.9177618981</v>
      </c>
      <c r="F45" s="11">
        <v>1877971.1536629344</v>
      </c>
      <c r="G45" s="11">
        <v>1815505.4401732862</v>
      </c>
      <c r="H45" s="11">
        <v>1892958.5404333828</v>
      </c>
      <c r="I45" s="11">
        <v>1966668.6622880297</v>
      </c>
      <c r="J45" s="11">
        <v>2596636.0906863553</v>
      </c>
      <c r="K45" s="11">
        <v>2106406.320384077</v>
      </c>
      <c r="L45" s="11">
        <v>2472623.6471197885</v>
      </c>
      <c r="M45" s="11">
        <v>2670313.9101475147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12" t="s">
        <v>44</v>
      </c>
      <c r="B46" s="13">
        <f t="shared" ref="B46:M46" si="13">SUM(B45)</f>
        <v>1850521.8</v>
      </c>
      <c r="C46" s="13">
        <f t="shared" si="13"/>
        <v>1850521.8</v>
      </c>
      <c r="D46" s="13">
        <f t="shared" si="13"/>
        <v>1850521.8</v>
      </c>
      <c r="E46" s="13">
        <f t="shared" si="13"/>
        <v>1820161.918</v>
      </c>
      <c r="F46" s="13">
        <f t="shared" si="13"/>
        <v>1877971.154</v>
      </c>
      <c r="G46" s="13">
        <f t="shared" si="13"/>
        <v>1815505.44</v>
      </c>
      <c r="H46" s="13">
        <f t="shared" si="13"/>
        <v>1892958.54</v>
      </c>
      <c r="I46" s="13">
        <f t="shared" si="13"/>
        <v>1966668.662</v>
      </c>
      <c r="J46" s="13">
        <f t="shared" si="13"/>
        <v>2596636.091</v>
      </c>
      <c r="K46" s="13">
        <f t="shared" si="13"/>
        <v>2106406.32</v>
      </c>
      <c r="L46" s="13">
        <f t="shared" si="13"/>
        <v>2472623.647</v>
      </c>
      <c r="M46" s="13">
        <f t="shared" si="13"/>
        <v>2670313.91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9" t="s">
        <v>45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10" t="s">
        <v>46</v>
      </c>
      <c r="B48" s="11">
        <v>151125.55</v>
      </c>
      <c r="C48" s="11">
        <v>151125.55</v>
      </c>
      <c r="D48" s="11">
        <v>151125.55</v>
      </c>
      <c r="E48" s="11">
        <v>100750.36666666665</v>
      </c>
      <c r="F48" s="11">
        <v>50375.18333333333</v>
      </c>
      <c r="G48" s="11">
        <v>0.0</v>
      </c>
      <c r="H48" s="11">
        <v>0.0</v>
      </c>
      <c r="I48" s="11">
        <v>0.0</v>
      </c>
      <c r="J48" s="11">
        <v>0.0</v>
      </c>
      <c r="K48" s="11">
        <v>0.0</v>
      </c>
      <c r="L48" s="11">
        <v>0.0</v>
      </c>
      <c r="M48" s="11">
        <v>0.0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10" t="s">
        <v>47</v>
      </c>
      <c r="B49" s="11">
        <v>19571.41</v>
      </c>
      <c r="C49" s="11">
        <v>19571.41</v>
      </c>
      <c r="D49" s="11">
        <v>19571.41</v>
      </c>
      <c r="E49" s="11">
        <v>13047.606666666665</v>
      </c>
      <c r="F49" s="11">
        <v>6523.803333333332</v>
      </c>
      <c r="G49" s="11">
        <v>0.0</v>
      </c>
      <c r="H49" s="11">
        <v>0.0</v>
      </c>
      <c r="I49" s="11">
        <v>0.0</v>
      </c>
      <c r="J49" s="11">
        <v>0.0</v>
      </c>
      <c r="K49" s="11">
        <v>0.0</v>
      </c>
      <c r="L49" s="11">
        <v>0.0</v>
      </c>
      <c r="M49" s="11">
        <v>0.0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12" t="s">
        <v>48</v>
      </c>
      <c r="B50" s="13">
        <f t="shared" ref="B50:M50" si="14">SUM(B48:B49)</f>
        <v>170696.96</v>
      </c>
      <c r="C50" s="13">
        <f t="shared" si="14"/>
        <v>170696.96</v>
      </c>
      <c r="D50" s="13">
        <f t="shared" si="14"/>
        <v>170696.96</v>
      </c>
      <c r="E50" s="13">
        <f t="shared" si="14"/>
        <v>113797.9733</v>
      </c>
      <c r="F50" s="13">
        <f t="shared" si="14"/>
        <v>56898.98667</v>
      </c>
      <c r="G50" s="13">
        <f t="shared" si="14"/>
        <v>0</v>
      </c>
      <c r="H50" s="13">
        <f t="shared" si="14"/>
        <v>0</v>
      </c>
      <c r="I50" s="13">
        <f t="shared" si="14"/>
        <v>0</v>
      </c>
      <c r="J50" s="13">
        <f t="shared" si="14"/>
        <v>0</v>
      </c>
      <c r="K50" s="13">
        <f t="shared" si="14"/>
        <v>0</v>
      </c>
      <c r="L50" s="13">
        <f t="shared" si="14"/>
        <v>0</v>
      </c>
      <c r="M50" s="13">
        <f t="shared" si="14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9" t="s">
        <v>49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10" t="s">
        <v>50</v>
      </c>
      <c r="B52" s="11">
        <v>95261.43</v>
      </c>
      <c r="C52" s="11">
        <v>95261.43</v>
      </c>
      <c r="D52" s="11">
        <v>95261.43</v>
      </c>
      <c r="E52" s="11">
        <v>95261.43</v>
      </c>
      <c r="F52" s="11">
        <v>95261.43</v>
      </c>
      <c r="G52" s="11">
        <v>95261.43</v>
      </c>
      <c r="H52" s="11">
        <v>95261.43</v>
      </c>
      <c r="I52" s="11">
        <v>95261.43</v>
      </c>
      <c r="J52" s="11">
        <v>95261.43</v>
      </c>
      <c r="K52" s="11">
        <v>95261.43</v>
      </c>
      <c r="L52" s="11">
        <v>95261.43</v>
      </c>
      <c r="M52" s="11">
        <v>95261.43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10" t="s">
        <v>51</v>
      </c>
      <c r="B53" s="11">
        <v>25567.53</v>
      </c>
      <c r="C53" s="11">
        <v>25567.53</v>
      </c>
      <c r="D53" s="11">
        <v>25567.53</v>
      </c>
      <c r="E53" s="11">
        <v>31966.794444444444</v>
      </c>
      <c r="F53" s="11">
        <v>38366.05888888889</v>
      </c>
      <c r="G53" s="11">
        <v>44765.323333333334</v>
      </c>
      <c r="H53" s="11">
        <v>51164.58777777778</v>
      </c>
      <c r="I53" s="11">
        <v>57563.852222222224</v>
      </c>
      <c r="J53" s="11">
        <v>63963.11666666667</v>
      </c>
      <c r="K53" s="11">
        <v>70362.38111111111</v>
      </c>
      <c r="L53" s="11">
        <v>76761.64555555556</v>
      </c>
      <c r="M53" s="11">
        <v>83160.91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10" t="s">
        <v>52</v>
      </c>
      <c r="B54" s="11">
        <v>-7348.32</v>
      </c>
      <c r="C54" s="11">
        <v>-7348.32</v>
      </c>
      <c r="D54" s="11">
        <v>-7348.32</v>
      </c>
      <c r="E54" s="11">
        <v>-7016.779463418653</v>
      </c>
      <c r="F54" s="11">
        <v>-7122.869958872819</v>
      </c>
      <c r="G54" s="11">
        <v>-6800.934955399535</v>
      </c>
      <c r="H54" s="11">
        <v>-6795.614949775686</v>
      </c>
      <c r="I54" s="11">
        <v>-6753.263623170214</v>
      </c>
      <c r="J54" s="11">
        <v>-8511.188492872738</v>
      </c>
      <c r="K54" s="11">
        <v>-6575.548264035698</v>
      </c>
      <c r="L54" s="11">
        <v>-7332.82708774543</v>
      </c>
      <c r="M54" s="11">
        <v>-7502.303826067764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10" t="s">
        <v>53</v>
      </c>
      <c r="B55" s="11">
        <v>28003.34</v>
      </c>
      <c r="C55" s="11">
        <v>28003.34</v>
      </c>
      <c r="D55" s="11">
        <v>28003.34</v>
      </c>
      <c r="E55" s="11">
        <v>28003.34</v>
      </c>
      <c r="F55" s="11">
        <v>28003.34</v>
      </c>
      <c r="G55" s="11">
        <v>28003.34</v>
      </c>
      <c r="H55" s="11">
        <v>28003.34</v>
      </c>
      <c r="I55" s="11">
        <v>28003.34</v>
      </c>
      <c r="J55" s="11">
        <v>28003.34</v>
      </c>
      <c r="K55" s="11">
        <v>28003.34</v>
      </c>
      <c r="L55" s="11">
        <v>28003.34</v>
      </c>
      <c r="M55" s="11">
        <v>28003.34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10" t="s">
        <v>54</v>
      </c>
      <c r="B56" s="11">
        <v>-495.0</v>
      </c>
      <c r="C56" s="11">
        <v>-495.0</v>
      </c>
      <c r="D56" s="11">
        <v>-495.0</v>
      </c>
      <c r="E56" s="11">
        <v>-495.0</v>
      </c>
      <c r="F56" s="11">
        <v>-495.0</v>
      </c>
      <c r="G56" s="11">
        <v>-495.0</v>
      </c>
      <c r="H56" s="11">
        <v>-495.0</v>
      </c>
      <c r="I56" s="11">
        <v>-495.0</v>
      </c>
      <c r="J56" s="11">
        <v>-495.0</v>
      </c>
      <c r="K56" s="11">
        <v>-495.0</v>
      </c>
      <c r="L56" s="11">
        <v>-495.0</v>
      </c>
      <c r="M56" s="11">
        <v>-495.0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10" t="s">
        <v>55</v>
      </c>
      <c r="B57" s="11">
        <v>-64754.82</v>
      </c>
      <c r="C57" s="11">
        <v>-64754.82</v>
      </c>
      <c r="D57" s="11">
        <v>-64754.82</v>
      </c>
      <c r="E57" s="11">
        <v>-61833.22053658135</v>
      </c>
      <c r="F57" s="11">
        <v>-62768.11054366396</v>
      </c>
      <c r="G57" s="11">
        <v>-59931.15689961855</v>
      </c>
      <c r="H57" s="11">
        <v>-59884.27597900386</v>
      </c>
      <c r="I57" s="11">
        <v>-59511.067880948984</v>
      </c>
      <c r="J57" s="11">
        <v>-75002.24253190465</v>
      </c>
      <c r="K57" s="11">
        <v>-57945.00569367476</v>
      </c>
      <c r="L57" s="11">
        <v>-64618.293454569146</v>
      </c>
      <c r="M57" s="11">
        <v>-66111.7553185394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12" t="s">
        <v>56</v>
      </c>
      <c r="B58" s="13">
        <f t="shared" ref="B58:M58" si="15">SUM(B52:B57)</f>
        <v>76234.16</v>
      </c>
      <c r="C58" s="13">
        <f t="shared" si="15"/>
        <v>76234.16</v>
      </c>
      <c r="D58" s="13">
        <f t="shared" si="15"/>
        <v>76234.16</v>
      </c>
      <c r="E58" s="13">
        <f t="shared" si="15"/>
        <v>85886.56444</v>
      </c>
      <c r="F58" s="13">
        <f t="shared" si="15"/>
        <v>91244.84839</v>
      </c>
      <c r="G58" s="13">
        <f t="shared" si="15"/>
        <v>100803.0015</v>
      </c>
      <c r="H58" s="13">
        <f t="shared" si="15"/>
        <v>107254.4668</v>
      </c>
      <c r="I58" s="13">
        <f t="shared" si="15"/>
        <v>114069.2907</v>
      </c>
      <c r="J58" s="13">
        <f t="shared" si="15"/>
        <v>103219.4556</v>
      </c>
      <c r="K58" s="13">
        <f t="shared" si="15"/>
        <v>128611.5972</v>
      </c>
      <c r="L58" s="13">
        <f t="shared" si="15"/>
        <v>127580.295</v>
      </c>
      <c r="M58" s="13">
        <f t="shared" si="15"/>
        <v>132316.6209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9" t="s">
        <v>57</v>
      </c>
      <c r="B59" s="8">
        <f t="shared" ref="B59:M59" si="16">B46+B50+B58</f>
        <v>2097452.92</v>
      </c>
      <c r="C59" s="8">
        <f t="shared" si="16"/>
        <v>2097452.92</v>
      </c>
      <c r="D59" s="8">
        <f t="shared" si="16"/>
        <v>2097452.92</v>
      </c>
      <c r="E59" s="8">
        <f t="shared" si="16"/>
        <v>2019846.456</v>
      </c>
      <c r="F59" s="8">
        <f t="shared" si="16"/>
        <v>2026114.989</v>
      </c>
      <c r="G59" s="8">
        <f t="shared" si="16"/>
        <v>1916308.442</v>
      </c>
      <c r="H59" s="8">
        <f t="shared" si="16"/>
        <v>2000213.007</v>
      </c>
      <c r="I59" s="8">
        <f t="shared" si="16"/>
        <v>2080737.953</v>
      </c>
      <c r="J59" s="8">
        <f t="shared" si="16"/>
        <v>2699855.546</v>
      </c>
      <c r="K59" s="8">
        <f t="shared" si="16"/>
        <v>2235017.918</v>
      </c>
      <c r="L59" s="8">
        <f t="shared" si="16"/>
        <v>2600203.942</v>
      </c>
      <c r="M59" s="8">
        <f t="shared" si="16"/>
        <v>2802630.531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9" t="s">
        <v>58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10" t="s">
        <v>59</v>
      </c>
      <c r="B61" s="11">
        <v>299597.84</v>
      </c>
      <c r="C61" s="11">
        <v>299597.84</v>
      </c>
      <c r="D61" s="11">
        <v>299597.84</v>
      </c>
      <c r="E61" s="11">
        <v>288356.2666666667</v>
      </c>
      <c r="F61" s="11">
        <v>277114.69333333336</v>
      </c>
      <c r="G61" s="11">
        <v>265873.12</v>
      </c>
      <c r="H61" s="11">
        <v>254631.5466666667</v>
      </c>
      <c r="I61" s="11">
        <v>243389.97333333336</v>
      </c>
      <c r="J61" s="11">
        <v>232148.40000000002</v>
      </c>
      <c r="K61" s="11">
        <v>220906.8266666667</v>
      </c>
      <c r="L61" s="11">
        <v>209665.25333333336</v>
      </c>
      <c r="M61" s="11">
        <v>198423.68000000002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10" t="s">
        <v>60</v>
      </c>
      <c r="B62" s="11">
        <v>37833.0</v>
      </c>
      <c r="C62" s="11">
        <v>37833.0</v>
      </c>
      <c r="D62" s="11">
        <v>37833.0</v>
      </c>
      <c r="E62" s="11">
        <v>37483.0</v>
      </c>
      <c r="F62" s="11">
        <v>37133.0</v>
      </c>
      <c r="G62" s="11">
        <v>36783.0</v>
      </c>
      <c r="H62" s="11">
        <v>36433.0</v>
      </c>
      <c r="I62" s="11">
        <v>36083.0</v>
      </c>
      <c r="J62" s="11">
        <v>35733.0</v>
      </c>
      <c r="K62" s="11">
        <v>35383.0</v>
      </c>
      <c r="L62" s="11">
        <v>35033.0</v>
      </c>
      <c r="M62" s="11">
        <v>34683.0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10" t="s">
        <v>61</v>
      </c>
      <c r="B63" s="11">
        <v>383397.72</v>
      </c>
      <c r="C63" s="11">
        <v>383397.72</v>
      </c>
      <c r="D63" s="11">
        <v>383397.72</v>
      </c>
      <c r="E63" s="11">
        <v>383397.72</v>
      </c>
      <c r="F63" s="11">
        <v>383397.72</v>
      </c>
      <c r="G63" s="11">
        <v>383397.72</v>
      </c>
      <c r="H63" s="11">
        <v>0.0</v>
      </c>
      <c r="I63" s="11">
        <v>0.0</v>
      </c>
      <c r="J63" s="11">
        <v>0.0</v>
      </c>
      <c r="K63" s="11">
        <v>0.0</v>
      </c>
      <c r="L63" s="11">
        <v>0.0</v>
      </c>
      <c r="M63" s="11">
        <v>0.0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10" t="s">
        <v>62</v>
      </c>
      <c r="B64" s="11">
        <v>519273.24</v>
      </c>
      <c r="C64" s="11">
        <v>519273.24</v>
      </c>
      <c r="D64" s="11">
        <v>519273.24</v>
      </c>
      <c r="E64" s="11">
        <v>519273.24</v>
      </c>
      <c r="F64" s="11">
        <v>519273.24</v>
      </c>
      <c r="G64" s="11">
        <v>519273.24</v>
      </c>
      <c r="H64" s="11">
        <v>0.0</v>
      </c>
      <c r="I64" s="11">
        <v>0.0</v>
      </c>
      <c r="J64" s="11">
        <v>0.0</v>
      </c>
      <c r="K64" s="11">
        <v>0.0</v>
      </c>
      <c r="L64" s="11">
        <v>0.0</v>
      </c>
      <c r="M64" s="11">
        <v>0.0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10" t="s">
        <v>63</v>
      </c>
      <c r="B65" s="11">
        <v>3150000.0</v>
      </c>
      <c r="C65" s="11">
        <v>3150000.0</v>
      </c>
      <c r="D65" s="11">
        <v>3150000.0</v>
      </c>
      <c r="E65" s="11">
        <v>3150000.0</v>
      </c>
      <c r="F65" s="11">
        <v>3150000.0</v>
      </c>
      <c r="G65" s="11">
        <v>3150000.0</v>
      </c>
      <c r="H65" s="11">
        <v>0.0</v>
      </c>
      <c r="I65" s="11">
        <v>0.0</v>
      </c>
      <c r="J65" s="11">
        <v>0.0</v>
      </c>
      <c r="K65" s="11">
        <v>0.0</v>
      </c>
      <c r="L65" s="11">
        <v>0.0</v>
      </c>
      <c r="M65" s="11">
        <v>0.0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10" t="s">
        <v>64</v>
      </c>
      <c r="B66" s="11">
        <v>271978.39</v>
      </c>
      <c r="C66" s="11">
        <v>271978.39</v>
      </c>
      <c r="D66" s="11">
        <v>271978.39</v>
      </c>
      <c r="E66" s="11">
        <v>271978.39</v>
      </c>
      <c r="F66" s="11">
        <v>271978.39</v>
      </c>
      <c r="G66" s="11">
        <v>271978.39</v>
      </c>
      <c r="H66" s="11">
        <v>0.0</v>
      </c>
      <c r="I66" s="11">
        <v>0.0</v>
      </c>
      <c r="J66" s="11">
        <v>0.0</v>
      </c>
      <c r="K66" s="11">
        <v>0.0</v>
      </c>
      <c r="L66" s="11">
        <v>0.0</v>
      </c>
      <c r="M66" s="11">
        <v>0.0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10" t="s">
        <v>65</v>
      </c>
      <c r="B67" s="11">
        <v>0.0</v>
      </c>
      <c r="C67" s="11">
        <v>0.0</v>
      </c>
      <c r="D67" s="11">
        <v>0.0</v>
      </c>
      <c r="E67" s="11">
        <v>0.0</v>
      </c>
      <c r="F67" s="11">
        <v>0.0</v>
      </c>
      <c r="G67" s="11">
        <v>0.0</v>
      </c>
      <c r="H67" s="11">
        <v>3500000.0</v>
      </c>
      <c r="I67" s="11">
        <v>3500000.0</v>
      </c>
      <c r="J67" s="11">
        <v>3500000.0</v>
      </c>
      <c r="K67" s="11">
        <v>3500000.0</v>
      </c>
      <c r="L67" s="11">
        <v>3500000.0</v>
      </c>
      <c r="M67" s="11">
        <v>3500000.0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12" t="s">
        <v>66</v>
      </c>
      <c r="B68" s="13">
        <f t="shared" ref="B68:M68" si="17">SUM(B61:B67)</f>
        <v>4662080.19</v>
      </c>
      <c r="C68" s="13">
        <f t="shared" si="17"/>
        <v>4662080.19</v>
      </c>
      <c r="D68" s="13">
        <f t="shared" si="17"/>
        <v>4662080.19</v>
      </c>
      <c r="E68" s="13">
        <f t="shared" si="17"/>
        <v>4650488.617</v>
      </c>
      <c r="F68" s="13">
        <f t="shared" si="17"/>
        <v>4638897.043</v>
      </c>
      <c r="G68" s="13">
        <f t="shared" si="17"/>
        <v>4627305.47</v>
      </c>
      <c r="H68" s="13">
        <f t="shared" si="17"/>
        <v>3791064.547</v>
      </c>
      <c r="I68" s="13">
        <f t="shared" si="17"/>
        <v>3779472.973</v>
      </c>
      <c r="J68" s="13">
        <f t="shared" si="17"/>
        <v>3767881.4</v>
      </c>
      <c r="K68" s="13">
        <f t="shared" si="17"/>
        <v>3756289.827</v>
      </c>
      <c r="L68" s="13">
        <f t="shared" si="17"/>
        <v>3744698.253</v>
      </c>
      <c r="M68" s="13">
        <f t="shared" si="17"/>
        <v>3733106.68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" t="s">
        <v>67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" t="s">
        <v>67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10" t="s">
        <v>68</v>
      </c>
      <c r="B71" s="11">
        <v>1.488902538E7</v>
      </c>
      <c r="C71" s="11">
        <v>1.488902538E7</v>
      </c>
      <c r="D71" s="11">
        <v>1.488902538E7</v>
      </c>
      <c r="E71" s="11">
        <v>1.488902538E7</v>
      </c>
      <c r="F71" s="11">
        <v>1.488902538E7</v>
      </c>
      <c r="G71" s="11">
        <v>1.9889025380000003E7</v>
      </c>
      <c r="H71" s="11">
        <v>1.9889025380000003E7</v>
      </c>
      <c r="I71" s="11">
        <v>1.9889025380000003E7</v>
      </c>
      <c r="J71" s="11">
        <v>1.9889025380000003E7</v>
      </c>
      <c r="K71" s="11">
        <v>1.9889025380000003E7</v>
      </c>
      <c r="L71" s="11">
        <v>1.9889025380000003E7</v>
      </c>
      <c r="M71" s="11">
        <v>1.9889025380000003E7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16" t="s">
        <v>69</v>
      </c>
      <c r="B72" s="11">
        <v>400.0</v>
      </c>
      <c r="C72" s="11">
        <v>400.0</v>
      </c>
      <c r="D72" s="11">
        <v>400.0</v>
      </c>
      <c r="E72" s="11">
        <v>400.0</v>
      </c>
      <c r="F72" s="11">
        <v>400.0</v>
      </c>
      <c r="G72" s="11">
        <v>400.0</v>
      </c>
      <c r="H72" s="11">
        <v>400.0</v>
      </c>
      <c r="I72" s="11">
        <v>400.0</v>
      </c>
      <c r="J72" s="11">
        <v>400.0</v>
      </c>
      <c r="K72" s="11">
        <v>400.0</v>
      </c>
      <c r="L72" s="11">
        <v>400.0</v>
      </c>
      <c r="M72" s="11">
        <v>400.0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12" t="s">
        <v>70</v>
      </c>
      <c r="B73" s="13">
        <f t="shared" ref="B73:M73" si="18">SUM(B71:B72)</f>
        <v>14889425.38</v>
      </c>
      <c r="C73" s="13">
        <f t="shared" si="18"/>
        <v>14889425.38</v>
      </c>
      <c r="D73" s="13">
        <f t="shared" si="18"/>
        <v>14889425.38</v>
      </c>
      <c r="E73" s="13">
        <f t="shared" si="18"/>
        <v>14889425.38</v>
      </c>
      <c r="F73" s="13">
        <f t="shared" si="18"/>
        <v>14889425.38</v>
      </c>
      <c r="G73" s="13">
        <f t="shared" si="18"/>
        <v>19889425.38</v>
      </c>
      <c r="H73" s="13">
        <f t="shared" si="18"/>
        <v>19889425.38</v>
      </c>
      <c r="I73" s="13">
        <f t="shared" si="18"/>
        <v>19889425.38</v>
      </c>
      <c r="J73" s="13">
        <f t="shared" si="18"/>
        <v>19889425.38</v>
      </c>
      <c r="K73" s="13">
        <f t="shared" si="18"/>
        <v>19889425.38</v>
      </c>
      <c r="L73" s="13">
        <f t="shared" si="18"/>
        <v>19889425.38</v>
      </c>
      <c r="M73" s="13">
        <f t="shared" si="18"/>
        <v>19889425.38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10" t="s">
        <v>71</v>
      </c>
      <c r="B74" s="11">
        <v>-1.252310323E7</v>
      </c>
      <c r="C74" s="11">
        <v>-1.252310323E7</v>
      </c>
      <c r="D74" s="11">
        <v>-1.252310323E7</v>
      </c>
      <c r="E74" s="11">
        <v>-1.252310323E7</v>
      </c>
      <c r="F74" s="11">
        <v>-1.252310323E7</v>
      </c>
      <c r="G74" s="11">
        <v>-1.252310323E7</v>
      </c>
      <c r="H74" s="11">
        <v>-1.252310323E7</v>
      </c>
      <c r="I74" s="11">
        <v>-1.252310323E7</v>
      </c>
      <c r="J74" s="11">
        <v>-1.252310323E7</v>
      </c>
      <c r="K74" s="11">
        <v>-1.252310323E7</v>
      </c>
      <c r="L74" s="11">
        <v>-1.252310323E7</v>
      </c>
      <c r="M74" s="11">
        <v>-1.252310323E7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10" t="s">
        <v>72</v>
      </c>
      <c r="B75" s="11">
        <v>-869792.8299999998</v>
      </c>
      <c r="C75" s="11">
        <v>-869792.8299999998</v>
      </c>
      <c r="D75" s="11">
        <v>-869792.8299999998</v>
      </c>
      <c r="E75" s="11">
        <v>-1229363.833191181</v>
      </c>
      <c r="F75" s="11">
        <v>-1339108.8374266115</v>
      </c>
      <c r="G75" s="11">
        <v>-1457647.089373687</v>
      </c>
      <c r="H75" s="11">
        <v>-1568477.121069399</v>
      </c>
      <c r="I75" s="11">
        <v>-1517334.7127419184</v>
      </c>
      <c r="J75" s="11">
        <v>-1658807.3066498376</v>
      </c>
      <c r="K75" s="11">
        <v>-1742958.788991118</v>
      </c>
      <c r="L75" s="11">
        <v>-1594283.6562680318</v>
      </c>
      <c r="M75" s="11">
        <v>-1399949.9951047795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14" t="s">
        <v>73</v>
      </c>
      <c r="B76" s="15">
        <f t="shared" ref="B76:D76" si="19">B73+B74+B75+0</f>
        <v>1496529.32</v>
      </c>
      <c r="C76" s="15">
        <f t="shared" si="19"/>
        <v>1496529.32</v>
      </c>
      <c r="D76" s="15">
        <f t="shared" si="19"/>
        <v>1496529.32</v>
      </c>
      <c r="E76" s="15">
        <f t="shared" ref="E76:M76" si="20">E73+E74+E75</f>
        <v>1136958.317</v>
      </c>
      <c r="F76" s="15">
        <f t="shared" si="20"/>
        <v>1027213.313</v>
      </c>
      <c r="G76" s="15">
        <f t="shared" si="20"/>
        <v>5908675.061</v>
      </c>
      <c r="H76" s="15">
        <f t="shared" si="20"/>
        <v>5797845.029</v>
      </c>
      <c r="I76" s="15">
        <f t="shared" si="20"/>
        <v>5848987.437</v>
      </c>
      <c r="J76" s="15">
        <f t="shared" si="20"/>
        <v>5707514.843</v>
      </c>
      <c r="K76" s="15">
        <f t="shared" si="20"/>
        <v>5623363.361</v>
      </c>
      <c r="L76" s="15">
        <f t="shared" si="20"/>
        <v>5772038.494</v>
      </c>
      <c r="M76" s="15">
        <f t="shared" si="20"/>
        <v>5966372.155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17" t="s">
        <v>74</v>
      </c>
      <c r="B77" s="15">
        <f t="shared" ref="B77:M77" si="21">B59+B68+B76</f>
        <v>8256062.43</v>
      </c>
      <c r="C77" s="15">
        <f t="shared" si="21"/>
        <v>8256062.43</v>
      </c>
      <c r="D77" s="15">
        <f t="shared" si="21"/>
        <v>8256062.43</v>
      </c>
      <c r="E77" s="15">
        <f t="shared" si="21"/>
        <v>7807293.389</v>
      </c>
      <c r="F77" s="15">
        <f t="shared" si="21"/>
        <v>7692225.345</v>
      </c>
      <c r="G77" s="15">
        <f t="shared" si="21"/>
        <v>12452288.97</v>
      </c>
      <c r="H77" s="15">
        <f t="shared" si="21"/>
        <v>11589122.58</v>
      </c>
      <c r="I77" s="15">
        <f t="shared" si="21"/>
        <v>11709198.36</v>
      </c>
      <c r="J77" s="15">
        <f t="shared" si="21"/>
        <v>12175251.79</v>
      </c>
      <c r="K77" s="15">
        <f t="shared" si="21"/>
        <v>11614671.11</v>
      </c>
      <c r="L77" s="15">
        <f t="shared" si="21"/>
        <v>12116940.69</v>
      </c>
      <c r="M77" s="15">
        <f t="shared" si="21"/>
        <v>12502109.37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2026-05-07T00:24:05Z</dcterms:created>
  <dc:creator>Humberto Agurto</dc:creator>
</cp:coreProperties>
</file>