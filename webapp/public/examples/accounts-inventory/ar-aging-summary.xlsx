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45d0209dc381dc/"/>
    </mc:Choice>
  </mc:AlternateContent>
  <xr:revisionPtr revIDLastSave="7" documentId="11_679E8004663B0C95C720FD2987E3D06574C67B6C" xr6:coauthVersionLast="47" xr6:coauthVersionMax="47" xr10:uidLastSave="{F22853D6-C30F-40BA-B390-2D1C2B23E99E}"/>
  <bookViews>
    <workbookView xWindow="38280" yWindow="-120" windowWidth="29040" windowHeight="15720" xr2:uid="{00000000-000D-0000-FFFF-FFFF00000000}"/>
  </bookViews>
  <sheets>
    <sheet name="A R Aging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4zpeLDtLVpsBMzL4csrmSy9R2XRQx0n5LZQkHiQ/B6w="/>
    </ext>
  </extLst>
</workbook>
</file>

<file path=xl/calcChain.xml><?xml version="1.0" encoding="utf-8"?>
<calcChain xmlns="http://schemas.openxmlformats.org/spreadsheetml/2006/main">
  <c r="E47" i="1" l="1"/>
  <c r="G46" i="1"/>
  <c r="B46" i="1"/>
  <c r="B45" i="1"/>
  <c r="G45" i="1" s="1"/>
  <c r="D44" i="1"/>
  <c r="D47" i="1" s="1"/>
  <c r="C44" i="1"/>
  <c r="C47" i="1" s="1"/>
  <c r="B44" i="1"/>
  <c r="B47" i="1" s="1"/>
  <c r="G43" i="1"/>
  <c r="F43" i="1"/>
  <c r="B43" i="1"/>
  <c r="F42" i="1"/>
  <c r="G42" i="1" s="1"/>
  <c r="F41" i="1"/>
  <c r="C41" i="1"/>
  <c r="B41" i="1"/>
  <c r="G41" i="1" s="1"/>
  <c r="C40" i="1"/>
  <c r="G40" i="1" s="1"/>
  <c r="G39" i="1"/>
  <c r="C39" i="1"/>
  <c r="F38" i="1"/>
  <c r="D38" i="1"/>
  <c r="G38" i="1" s="1"/>
  <c r="F37" i="1"/>
  <c r="D37" i="1"/>
  <c r="B37" i="1"/>
  <c r="G37" i="1" s="1"/>
  <c r="C36" i="1"/>
  <c r="G36" i="1" s="1"/>
  <c r="B35" i="1"/>
  <c r="G35" i="1" s="1"/>
  <c r="G34" i="1"/>
  <c r="C34" i="1"/>
  <c r="B34" i="1"/>
  <c r="G33" i="1"/>
  <c r="F33" i="1"/>
  <c r="F32" i="1"/>
  <c r="E32" i="1"/>
  <c r="G32" i="1" s="1"/>
  <c r="D31" i="1"/>
  <c r="G31" i="1" s="1"/>
  <c r="B30" i="1"/>
  <c r="G30" i="1" s="1"/>
  <c r="F29" i="1"/>
  <c r="D29" i="1"/>
  <c r="B29" i="1"/>
  <c r="G29" i="1" s="1"/>
  <c r="G28" i="1"/>
  <c r="B28" i="1"/>
  <c r="B27" i="1"/>
  <c r="G27" i="1" s="1"/>
  <c r="F26" i="1"/>
  <c r="G26" i="1" s="1"/>
  <c r="F25" i="1"/>
  <c r="D25" i="1"/>
  <c r="C25" i="1"/>
  <c r="B25" i="1"/>
  <c r="G25" i="1" s="1"/>
  <c r="C24" i="1"/>
  <c r="B24" i="1"/>
  <c r="G24" i="1" s="1"/>
  <c r="D23" i="1"/>
  <c r="B23" i="1"/>
  <c r="G23" i="1" s="1"/>
  <c r="F22" i="1"/>
  <c r="G22" i="1" s="1"/>
  <c r="G21" i="1"/>
  <c r="F21" i="1"/>
  <c r="F20" i="1"/>
  <c r="C20" i="1"/>
  <c r="B20" i="1"/>
  <c r="G20" i="1" s="1"/>
  <c r="F19" i="1"/>
  <c r="G19" i="1" s="1"/>
  <c r="C18" i="1"/>
  <c r="G18" i="1" s="1"/>
  <c r="B17" i="1"/>
  <c r="G17" i="1" s="1"/>
  <c r="B16" i="1"/>
  <c r="G16" i="1" s="1"/>
  <c r="B15" i="1"/>
  <c r="G15" i="1" s="1"/>
  <c r="G14" i="1"/>
  <c r="F14" i="1"/>
  <c r="C13" i="1"/>
  <c r="B13" i="1"/>
  <c r="G13" i="1" s="1"/>
  <c r="C12" i="1"/>
  <c r="G12" i="1" s="1"/>
  <c r="B11" i="1"/>
  <c r="G11" i="1" s="1"/>
  <c r="E10" i="1"/>
  <c r="G10" i="1" s="1"/>
  <c r="C9" i="1"/>
  <c r="G9" i="1" s="1"/>
  <c r="G8" i="1"/>
  <c r="E8" i="1"/>
  <c r="D8" i="1"/>
  <c r="G7" i="1"/>
  <c r="F7" i="1"/>
  <c r="F47" i="1" s="1"/>
  <c r="D7" i="1"/>
  <c r="C6" i="1"/>
  <c r="G6" i="1" s="1"/>
  <c r="G47" i="1" l="1"/>
  <c r="G44" i="1"/>
</calcChain>
</file>

<file path=xl/sharedStrings.xml><?xml version="1.0" encoding="utf-8"?>
<sst xmlns="http://schemas.openxmlformats.org/spreadsheetml/2006/main" count="51" uniqueCount="51">
  <si>
    <t>A/R Aging Summary</t>
  </si>
  <si>
    <t>Current</t>
  </si>
  <si>
    <t>1 - 30</t>
  </si>
  <si>
    <t>31 - 60</t>
  </si>
  <si>
    <t>61 - 90</t>
  </si>
  <si>
    <t>91 and over</t>
  </si>
  <si>
    <t>Total</t>
  </si>
  <si>
    <t>TOTAL</t>
  </si>
  <si>
    <t>Example Company</t>
  </si>
  <si>
    <t xml:space="preserve">As of 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</si>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</sst>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8" x14ac:knownFonts="1">
    <font>
      <sz val="11"/>
      <color rgb="FF000000"/>
      <name val="Calibri"/>
      <scheme val="minor"/>
    </font>
    <font>
      <b/>
      <sz val="14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wrapText="1"/>
    </xf>
    <xf numFmtId="164" fontId="6" fillId="0" borderId="0" xfId="0" applyNumberFormat="1" applyFont="1" applyAlignment="1">
      <alignment horizontal="right" wrapText="1"/>
    </xf>
    <xf numFmtId="165" fontId="5" fillId="0" borderId="2" xfId="0" applyNumberFormat="1" applyFont="1" applyBorder="1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5" topLeftCell="A6" activePane="bottomLeft" state="frozen"/>
      <selection pane="bottomLeft" activeCell="A51" sqref="A51:G51"/>
    </sheetView>
  </sheetViews>
  <sheetFormatPr defaultColWidth="14.453125" defaultRowHeight="15" customHeight="1" x14ac:dyDescent="0.35"/>
  <cols>
    <col min="1" max="1" width="10.6328125" bestFit="1" customWidth="1"/>
    <col min="2" max="3" width="10.26953125" customWidth="1"/>
    <col min="4" max="4" width="9.453125" customWidth="1"/>
    <col min="5" max="5" width="10.26953125" customWidth="1"/>
    <col min="6" max="6" width="9.453125" customWidth="1"/>
    <col min="7" max="7" width="10.26953125" customWidth="1"/>
    <col min="8" max="26" width="8.7265625" customWidth="1"/>
  </cols>
  <sheetData>
    <row r="1" spans="1:7" ht="18" x14ac:dyDescent="0.4">
      <c r="A1" s="7" t="s">
        <v>8</v>
      </c>
      <c r="B1" s="8"/>
      <c r="C1" s="8"/>
      <c r="D1" s="8"/>
      <c r="E1" s="8"/>
      <c r="F1" s="8"/>
      <c r="G1" s="8"/>
    </row>
    <row r="2" spans="1:7" ht="18" x14ac:dyDescent="0.4">
      <c r="A2" s="7" t="s">
        <v>0</v>
      </c>
      <c r="B2" s="8"/>
      <c r="C2" s="8"/>
      <c r="D2" s="8"/>
      <c r="E2" s="8"/>
      <c r="F2" s="8"/>
      <c r="G2" s="8"/>
    </row>
    <row r="3" spans="1:7" ht="14.5" x14ac:dyDescent="0.35">
      <c r="A3" s="9" t="s">
        <v>9</v>
      </c>
      <c r="B3" s="8"/>
      <c r="C3" s="8"/>
      <c r="D3" s="8"/>
      <c r="E3" s="8"/>
      <c r="F3" s="8"/>
      <c r="G3" s="8"/>
    </row>
    <row r="5" spans="1:7" ht="24" x14ac:dyDescent="0.35">
      <c r="A5" s="1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ht="14.5" x14ac:dyDescent="0.35">
      <c r="A6" s="3" t="s">
        <v>10</v>
      </c>
      <c r="B6" s="4"/>
      <c r="C6" s="5">
        <f>14620</f>
        <v>14620</v>
      </c>
      <c r="D6" s="4"/>
      <c r="E6" s="4"/>
      <c r="F6" s="4"/>
      <c r="G6" s="5">
        <f t="shared" ref="G6:G47" si="0">((((B6)+(C6))+(D6))+(E6))+(F6)</f>
        <v>14620</v>
      </c>
    </row>
    <row r="7" spans="1:7" ht="14.5" x14ac:dyDescent="0.35">
      <c r="A7" s="3" t="s">
        <v>11</v>
      </c>
      <c r="B7" s="4"/>
      <c r="C7" s="4"/>
      <c r="D7" s="5">
        <f>5804</f>
        <v>5804</v>
      </c>
      <c r="E7" s="4"/>
      <c r="F7" s="5">
        <f>5092.84</f>
        <v>5092.84</v>
      </c>
      <c r="G7" s="5">
        <f t="shared" si="0"/>
        <v>10896.84</v>
      </c>
    </row>
    <row r="8" spans="1:7" ht="14.5" x14ac:dyDescent="0.35">
      <c r="A8" s="3" t="s">
        <v>12</v>
      </c>
      <c r="B8" s="4"/>
      <c r="C8" s="4"/>
      <c r="D8" s="5">
        <f>8796.51</f>
        <v>8796.51</v>
      </c>
      <c r="E8" s="5">
        <f>-8796.62</f>
        <v>-8796.6200000000008</v>
      </c>
      <c r="F8" s="4"/>
      <c r="G8" s="5">
        <f t="shared" si="0"/>
        <v>-0.11000000000058208</v>
      </c>
    </row>
    <row r="9" spans="1:7" ht="14.5" x14ac:dyDescent="0.35">
      <c r="A9" s="3" t="s">
        <v>13</v>
      </c>
      <c r="B9" s="4"/>
      <c r="C9" s="5">
        <f>2284.5</f>
        <v>2284.5</v>
      </c>
      <c r="D9" s="4"/>
      <c r="E9" s="4"/>
      <c r="F9" s="4"/>
      <c r="G9" s="5">
        <f t="shared" si="0"/>
        <v>2284.5</v>
      </c>
    </row>
    <row r="10" spans="1:7" ht="14.5" x14ac:dyDescent="0.35">
      <c r="A10" s="3" t="s">
        <v>14</v>
      </c>
      <c r="B10" s="4"/>
      <c r="C10" s="4"/>
      <c r="D10" s="4"/>
      <c r="E10" s="5">
        <f>-25</f>
        <v>-25</v>
      </c>
      <c r="F10" s="4"/>
      <c r="G10" s="5">
        <f t="shared" si="0"/>
        <v>-25</v>
      </c>
    </row>
    <row r="11" spans="1:7" ht="14.5" x14ac:dyDescent="0.35">
      <c r="A11" s="3" t="s">
        <v>15</v>
      </c>
      <c r="B11" s="5">
        <f>18278.4</f>
        <v>18278.400000000001</v>
      </c>
      <c r="C11" s="4"/>
      <c r="D11" s="4"/>
      <c r="E11" s="4"/>
      <c r="F11" s="4"/>
      <c r="G11" s="5">
        <f t="shared" si="0"/>
        <v>18278.400000000001</v>
      </c>
    </row>
    <row r="12" spans="1:7" ht="14.5" x14ac:dyDescent="0.35">
      <c r="A12" s="3" t="s">
        <v>16</v>
      </c>
      <c r="B12" s="4"/>
      <c r="C12" s="5">
        <f>25267.2</f>
        <v>25267.200000000001</v>
      </c>
      <c r="D12" s="4"/>
      <c r="E12" s="4"/>
      <c r="F12" s="4"/>
      <c r="G12" s="5">
        <f t="shared" si="0"/>
        <v>25267.200000000001</v>
      </c>
    </row>
    <row r="13" spans="1:7" ht="14.5" x14ac:dyDescent="0.35">
      <c r="A13" s="3" t="s">
        <v>17</v>
      </c>
      <c r="B13" s="5">
        <f>3922.5</f>
        <v>3922.5</v>
      </c>
      <c r="C13" s="5">
        <f>17637.5</f>
        <v>17637.5</v>
      </c>
      <c r="D13" s="4"/>
      <c r="E13" s="4"/>
      <c r="F13" s="4"/>
      <c r="G13" s="5">
        <f t="shared" si="0"/>
        <v>21560</v>
      </c>
    </row>
    <row r="14" spans="1:7" ht="14.5" x14ac:dyDescent="0.35">
      <c r="A14" s="3" t="s">
        <v>18</v>
      </c>
      <c r="B14" s="4"/>
      <c r="C14" s="4"/>
      <c r="D14" s="4"/>
      <c r="E14" s="4"/>
      <c r="F14" s="5">
        <f>-50</f>
        <v>-50</v>
      </c>
      <c r="G14" s="5">
        <f t="shared" si="0"/>
        <v>-50</v>
      </c>
    </row>
    <row r="15" spans="1:7" ht="14.5" x14ac:dyDescent="0.35">
      <c r="A15" s="3" t="s">
        <v>19</v>
      </c>
      <c r="B15" s="5">
        <f>24624</f>
        <v>24624</v>
      </c>
      <c r="C15" s="4"/>
      <c r="D15" s="4"/>
      <c r="E15" s="4"/>
      <c r="F15" s="4"/>
      <c r="G15" s="5">
        <f t="shared" si="0"/>
        <v>24624</v>
      </c>
    </row>
    <row r="16" spans="1:7" ht="14.5" x14ac:dyDescent="0.35">
      <c r="A16" s="3" t="s">
        <v>20</v>
      </c>
      <c r="B16" s="5">
        <f>66753.6</f>
        <v>66753.600000000006</v>
      </c>
      <c r="C16" s="4"/>
      <c r="D16" s="4"/>
      <c r="E16" s="4"/>
      <c r="F16" s="4"/>
      <c r="G16" s="5">
        <f t="shared" si="0"/>
        <v>66753.600000000006</v>
      </c>
    </row>
    <row r="17" spans="1:7" ht="14.5" x14ac:dyDescent="0.35">
      <c r="A17" s="3" t="s">
        <v>21</v>
      </c>
      <c r="B17" s="5">
        <f>255</f>
        <v>255</v>
      </c>
      <c r="C17" s="4"/>
      <c r="D17" s="4"/>
      <c r="E17" s="4"/>
      <c r="F17" s="4"/>
      <c r="G17" s="5">
        <f t="shared" si="0"/>
        <v>255</v>
      </c>
    </row>
    <row r="18" spans="1:7" ht="14.5" x14ac:dyDescent="0.35">
      <c r="A18" s="3" t="s">
        <v>22</v>
      </c>
      <c r="B18" s="4"/>
      <c r="C18" s="5">
        <f>31847.87</f>
        <v>31847.87</v>
      </c>
      <c r="D18" s="4"/>
      <c r="E18" s="4"/>
      <c r="F18" s="4"/>
      <c r="G18" s="5">
        <f t="shared" si="0"/>
        <v>31847.87</v>
      </c>
    </row>
    <row r="19" spans="1:7" ht="14.5" x14ac:dyDescent="0.35">
      <c r="A19" s="3" t="s">
        <v>23</v>
      </c>
      <c r="B19" s="4"/>
      <c r="C19" s="4"/>
      <c r="D19" s="4"/>
      <c r="E19" s="4"/>
      <c r="F19" s="5">
        <f>253.5</f>
        <v>253.5</v>
      </c>
      <c r="G19" s="5">
        <f t="shared" si="0"/>
        <v>253.5</v>
      </c>
    </row>
    <row r="20" spans="1:7" ht="14.5" x14ac:dyDescent="0.35">
      <c r="A20" s="3" t="s">
        <v>24</v>
      </c>
      <c r="B20" s="5">
        <f>8247</f>
        <v>8247</v>
      </c>
      <c r="C20" s="5">
        <f>3023.5</f>
        <v>3023.5</v>
      </c>
      <c r="D20" s="4"/>
      <c r="E20" s="4"/>
      <c r="F20" s="5">
        <f>-174.15</f>
        <v>-174.15</v>
      </c>
      <c r="G20" s="5">
        <f t="shared" si="0"/>
        <v>11096.35</v>
      </c>
    </row>
    <row r="21" spans="1:7" ht="15.75" customHeight="1" x14ac:dyDescent="0.35">
      <c r="A21" s="3" t="s">
        <v>25</v>
      </c>
      <c r="B21" s="4"/>
      <c r="C21" s="4"/>
      <c r="D21" s="4"/>
      <c r="E21" s="4"/>
      <c r="F21" s="5">
        <f>0</f>
        <v>0</v>
      </c>
      <c r="G21" s="5">
        <f t="shared" si="0"/>
        <v>0</v>
      </c>
    </row>
    <row r="22" spans="1:7" ht="15.75" customHeight="1" x14ac:dyDescent="0.35">
      <c r="A22" s="3" t="s">
        <v>26</v>
      </c>
      <c r="B22" s="4"/>
      <c r="C22" s="4"/>
      <c r="D22" s="4"/>
      <c r="E22" s="4"/>
      <c r="F22" s="5">
        <f>-1.05</f>
        <v>-1.05</v>
      </c>
      <c r="G22" s="5">
        <f t="shared" si="0"/>
        <v>-1.05</v>
      </c>
    </row>
    <row r="23" spans="1:7" ht="15.75" customHeight="1" x14ac:dyDescent="0.35">
      <c r="A23" s="3" t="s">
        <v>27</v>
      </c>
      <c r="B23" s="5">
        <f>27305.28</f>
        <v>27305.279999999999</v>
      </c>
      <c r="C23" s="4"/>
      <c r="D23" s="5">
        <f>838.32</f>
        <v>838.32</v>
      </c>
      <c r="E23" s="4"/>
      <c r="F23" s="4"/>
      <c r="G23" s="5">
        <f t="shared" si="0"/>
        <v>28143.599999999999</v>
      </c>
    </row>
    <row r="24" spans="1:7" ht="15.75" customHeight="1" x14ac:dyDescent="0.35">
      <c r="A24" s="3" t="s">
        <v>28</v>
      </c>
      <c r="B24" s="5">
        <f>9421.44</f>
        <v>9421.44</v>
      </c>
      <c r="C24" s="5">
        <f>29516</f>
        <v>29516</v>
      </c>
      <c r="D24" s="4"/>
      <c r="E24" s="4"/>
      <c r="F24" s="4"/>
      <c r="G24" s="5">
        <f t="shared" si="0"/>
        <v>38937.440000000002</v>
      </c>
    </row>
    <row r="25" spans="1:7" ht="15.75" customHeight="1" x14ac:dyDescent="0.35">
      <c r="A25" s="3" t="s">
        <v>29</v>
      </c>
      <c r="B25" s="5">
        <f>162576</f>
        <v>162576</v>
      </c>
      <c r="C25" s="5">
        <f>52575</f>
        <v>52575</v>
      </c>
      <c r="D25" s="5">
        <f>3492</f>
        <v>3492</v>
      </c>
      <c r="E25" s="4"/>
      <c r="F25" s="5">
        <f>12264</f>
        <v>12264</v>
      </c>
      <c r="G25" s="5">
        <f t="shared" si="0"/>
        <v>230907</v>
      </c>
    </row>
    <row r="26" spans="1:7" ht="15.75" customHeight="1" x14ac:dyDescent="0.35">
      <c r="A26" s="3" t="s">
        <v>30</v>
      </c>
      <c r="B26" s="4"/>
      <c r="C26" s="4"/>
      <c r="D26" s="4"/>
      <c r="E26" s="4"/>
      <c r="F26" s="5">
        <f>-22</f>
        <v>-22</v>
      </c>
      <c r="G26" s="5">
        <f t="shared" si="0"/>
        <v>-22</v>
      </c>
    </row>
    <row r="27" spans="1:7" ht="15.75" customHeight="1" x14ac:dyDescent="0.35">
      <c r="A27" s="3" t="s">
        <v>31</v>
      </c>
      <c r="B27" s="5">
        <f>111</f>
        <v>111</v>
      </c>
      <c r="C27" s="4"/>
      <c r="D27" s="4"/>
      <c r="E27" s="4"/>
      <c r="F27" s="4"/>
      <c r="G27" s="5">
        <f t="shared" si="0"/>
        <v>111</v>
      </c>
    </row>
    <row r="28" spans="1:7" ht="15.75" customHeight="1" x14ac:dyDescent="0.35">
      <c r="A28" s="3" t="s">
        <v>32</v>
      </c>
      <c r="B28" s="5">
        <f>2558.4</f>
        <v>2558.4</v>
      </c>
      <c r="C28" s="4"/>
      <c r="D28" s="4"/>
      <c r="E28" s="4"/>
      <c r="F28" s="4"/>
      <c r="G28" s="5">
        <f t="shared" si="0"/>
        <v>2558.4</v>
      </c>
    </row>
    <row r="29" spans="1:7" ht="15.75" customHeight="1" x14ac:dyDescent="0.35">
      <c r="A29" s="3" t="s">
        <v>33</v>
      </c>
      <c r="B29" s="5">
        <f>4856.72</f>
        <v>4856.72</v>
      </c>
      <c r="C29" s="4"/>
      <c r="D29" s="5">
        <f>-1072.76</f>
        <v>-1072.76</v>
      </c>
      <c r="E29" s="4"/>
      <c r="F29" s="5">
        <f>0</f>
        <v>0</v>
      </c>
      <c r="G29" s="5">
        <f t="shared" si="0"/>
        <v>3783.96</v>
      </c>
    </row>
    <row r="30" spans="1:7" ht="15.75" customHeight="1" x14ac:dyDescent="0.35">
      <c r="A30" s="3" t="s">
        <v>34</v>
      </c>
      <c r="B30" s="5">
        <f>8862</f>
        <v>8862</v>
      </c>
      <c r="C30" s="4"/>
      <c r="D30" s="4"/>
      <c r="E30" s="4"/>
      <c r="F30" s="4"/>
      <c r="G30" s="5">
        <f t="shared" si="0"/>
        <v>8862</v>
      </c>
    </row>
    <row r="31" spans="1:7" ht="15.75" customHeight="1" x14ac:dyDescent="0.35">
      <c r="A31" s="3" t="s">
        <v>35</v>
      </c>
      <c r="B31" s="4"/>
      <c r="C31" s="4"/>
      <c r="D31" s="5">
        <f>790.8</f>
        <v>790.8</v>
      </c>
      <c r="E31" s="4"/>
      <c r="F31" s="4"/>
      <c r="G31" s="5">
        <f t="shared" si="0"/>
        <v>790.8</v>
      </c>
    </row>
    <row r="32" spans="1:7" ht="15.75" customHeight="1" x14ac:dyDescent="0.35">
      <c r="A32" s="3" t="s">
        <v>36</v>
      </c>
      <c r="B32" s="4"/>
      <c r="C32" s="4"/>
      <c r="D32" s="4"/>
      <c r="E32" s="5">
        <f>-254.14</f>
        <v>-254.14</v>
      </c>
      <c r="F32" s="5">
        <f>-172.48</f>
        <v>-172.48</v>
      </c>
      <c r="G32" s="5">
        <f t="shared" si="0"/>
        <v>-426.62</v>
      </c>
    </row>
    <row r="33" spans="1:7" ht="15.75" customHeight="1" x14ac:dyDescent="0.35">
      <c r="A33" s="3" t="s">
        <v>37</v>
      </c>
      <c r="B33" s="4"/>
      <c r="C33" s="4"/>
      <c r="D33" s="4"/>
      <c r="E33" s="4"/>
      <c r="F33" s="5">
        <f>181.5</f>
        <v>181.5</v>
      </c>
      <c r="G33" s="5">
        <f t="shared" si="0"/>
        <v>181.5</v>
      </c>
    </row>
    <row r="34" spans="1:7" ht="15.75" customHeight="1" x14ac:dyDescent="0.35">
      <c r="A34" s="3" t="s">
        <v>38</v>
      </c>
      <c r="B34" s="5">
        <f>51354</f>
        <v>51354</v>
      </c>
      <c r="C34" s="5">
        <f>136910.7</f>
        <v>136910.70000000001</v>
      </c>
      <c r="D34" s="4"/>
      <c r="E34" s="4"/>
      <c r="F34" s="4"/>
      <c r="G34" s="5">
        <f t="shared" si="0"/>
        <v>188264.7</v>
      </c>
    </row>
    <row r="35" spans="1:7" ht="15.75" customHeight="1" x14ac:dyDescent="0.35">
      <c r="A35" s="3" t="s">
        <v>39</v>
      </c>
      <c r="B35" s="5">
        <f>15348.48</f>
        <v>15348.48</v>
      </c>
      <c r="C35" s="4"/>
      <c r="D35" s="4"/>
      <c r="E35" s="4"/>
      <c r="F35" s="4"/>
      <c r="G35" s="5">
        <f t="shared" si="0"/>
        <v>15348.48</v>
      </c>
    </row>
    <row r="36" spans="1:7" ht="15.75" customHeight="1" x14ac:dyDescent="0.35">
      <c r="A36" s="3" t="s">
        <v>40</v>
      </c>
      <c r="B36" s="4"/>
      <c r="C36" s="5">
        <f>528</f>
        <v>528</v>
      </c>
      <c r="D36" s="4"/>
      <c r="E36" s="4"/>
      <c r="F36" s="4"/>
      <c r="G36" s="5">
        <f t="shared" si="0"/>
        <v>528</v>
      </c>
    </row>
    <row r="37" spans="1:7" ht="15.75" customHeight="1" x14ac:dyDescent="0.35">
      <c r="A37" s="3" t="s">
        <v>41</v>
      </c>
      <c r="B37" s="5">
        <f>1794</f>
        <v>1794</v>
      </c>
      <c r="C37" s="4"/>
      <c r="D37" s="5">
        <f>-165</f>
        <v>-165</v>
      </c>
      <c r="E37" s="4"/>
      <c r="F37" s="5">
        <f>-105</f>
        <v>-105</v>
      </c>
      <c r="G37" s="5">
        <f t="shared" si="0"/>
        <v>1524</v>
      </c>
    </row>
    <row r="38" spans="1:7" ht="15.75" customHeight="1" x14ac:dyDescent="0.35">
      <c r="A38" s="3" t="s">
        <v>42</v>
      </c>
      <c r="B38" s="4"/>
      <c r="C38" s="4"/>
      <c r="D38" s="5">
        <f>-2326</f>
        <v>-2326</v>
      </c>
      <c r="E38" s="4"/>
      <c r="F38" s="5">
        <f>149.7</f>
        <v>149.69999999999999</v>
      </c>
      <c r="G38" s="5">
        <f t="shared" si="0"/>
        <v>-2176.3000000000002</v>
      </c>
    </row>
    <row r="39" spans="1:7" ht="15.75" customHeight="1" x14ac:dyDescent="0.35">
      <c r="A39" s="3" t="s">
        <v>43</v>
      </c>
      <c r="B39" s="4"/>
      <c r="C39" s="5">
        <f>-110</f>
        <v>-110</v>
      </c>
      <c r="D39" s="4"/>
      <c r="E39" s="4"/>
      <c r="F39" s="4"/>
      <c r="G39" s="5">
        <f t="shared" si="0"/>
        <v>-110</v>
      </c>
    </row>
    <row r="40" spans="1:7" ht="15.75" customHeight="1" x14ac:dyDescent="0.35">
      <c r="A40" s="3" t="s">
        <v>44</v>
      </c>
      <c r="B40" s="4"/>
      <c r="C40" s="5">
        <f>2644</f>
        <v>2644</v>
      </c>
      <c r="D40" s="4"/>
      <c r="E40" s="4"/>
      <c r="F40" s="4"/>
      <c r="G40" s="5">
        <f t="shared" si="0"/>
        <v>2644</v>
      </c>
    </row>
    <row r="41" spans="1:7" ht="15.75" customHeight="1" x14ac:dyDescent="0.35">
      <c r="A41" s="3" t="s">
        <v>45</v>
      </c>
      <c r="B41" s="5">
        <f>810</f>
        <v>810</v>
      </c>
      <c r="C41" s="5">
        <f>405</f>
        <v>405</v>
      </c>
      <c r="D41" s="4"/>
      <c r="E41" s="4"/>
      <c r="F41" s="5">
        <f>405</f>
        <v>405</v>
      </c>
      <c r="G41" s="5">
        <f t="shared" si="0"/>
        <v>1620</v>
      </c>
    </row>
    <row r="42" spans="1:7" ht="15.75" customHeight="1" x14ac:dyDescent="0.35">
      <c r="A42" s="3" t="s">
        <v>46</v>
      </c>
      <c r="B42" s="4"/>
      <c r="C42" s="4"/>
      <c r="D42" s="4"/>
      <c r="E42" s="4"/>
      <c r="F42" s="5">
        <f>10568.82</f>
        <v>10568.82</v>
      </c>
      <c r="G42" s="5">
        <f t="shared" si="0"/>
        <v>10568.82</v>
      </c>
    </row>
    <row r="43" spans="1:7" ht="15.75" customHeight="1" x14ac:dyDescent="0.35">
      <c r="A43" s="3" t="s">
        <v>47</v>
      </c>
      <c r="B43" s="5">
        <f>2784.42</f>
        <v>2784.42</v>
      </c>
      <c r="C43" s="4"/>
      <c r="D43" s="4"/>
      <c r="E43" s="4"/>
      <c r="F43" s="5">
        <f>2964.06</f>
        <v>2964.06</v>
      </c>
      <c r="G43" s="5">
        <f t="shared" si="0"/>
        <v>5748.48</v>
      </c>
    </row>
    <row r="44" spans="1:7" ht="15.75" customHeight="1" x14ac:dyDescent="0.35">
      <c r="A44" s="3" t="s">
        <v>48</v>
      </c>
      <c r="B44" s="5">
        <f>2772</f>
        <v>2772</v>
      </c>
      <c r="C44" s="5">
        <f>2604</f>
        <v>2604</v>
      </c>
      <c r="D44" s="5">
        <f>2940</f>
        <v>2940</v>
      </c>
      <c r="E44" s="4"/>
      <c r="F44" s="4"/>
      <c r="G44" s="5">
        <f t="shared" si="0"/>
        <v>8316</v>
      </c>
    </row>
    <row r="45" spans="1:7" ht="15.75" customHeight="1" x14ac:dyDescent="0.35">
      <c r="A45" s="3" t="s">
        <v>49</v>
      </c>
      <c r="B45" s="5">
        <f>680</f>
        <v>680</v>
      </c>
      <c r="C45" s="4"/>
      <c r="D45" s="4"/>
      <c r="E45" s="4"/>
      <c r="F45" s="4"/>
      <c r="G45" s="5">
        <f t="shared" si="0"/>
        <v>680</v>
      </c>
    </row>
    <row r="46" spans="1:7" ht="15.75" customHeight="1" x14ac:dyDescent="0.35">
      <c r="A46" s="3" t="s">
        <v>50</v>
      </c>
      <c r="B46" s="5">
        <f>12564</f>
        <v>12564</v>
      </c>
      <c r="C46" s="4"/>
      <c r="D46" s="4"/>
      <c r="E46" s="4"/>
      <c r="F46" s="4"/>
      <c r="G46" s="5">
        <f t="shared" si="0"/>
        <v>12564</v>
      </c>
    </row>
    <row r="47" spans="1:7" ht="15.75" customHeight="1" x14ac:dyDescent="0.35">
      <c r="A47" s="3" t="s">
        <v>7</v>
      </c>
      <c r="B47" s="6">
        <f t="shared" ref="B47:F47" si="1">((((((((((((((((((((((((((((((((((((((((B6)+(B7))+(B8))+(B9))+(B10))+(B11))+(B12))+(B13))+(B14))+(B15))+(B16))+(B17))+(B18))+(B19))+(B20))+(B21))+(B22))+(B23))+(B24))+(B25))+(B26))+(B27))+(B28))+(B29))+(B30))+(B31))+(B32))+(B33))+(B34))+(B35))+(B36))+(B37))+(B38))+(B39))+(B40))+(B41))+(B42))+(B43))+(B44))+(B45))+(B46)</f>
        <v>425878.23999999993</v>
      </c>
      <c r="C47" s="6">
        <f t="shared" si="1"/>
        <v>319753.27</v>
      </c>
      <c r="D47" s="6">
        <f t="shared" si="1"/>
        <v>19097.870000000003</v>
      </c>
      <c r="E47" s="6">
        <f t="shared" si="1"/>
        <v>-9075.76</v>
      </c>
      <c r="F47" s="6">
        <f t="shared" si="1"/>
        <v>31354.74</v>
      </c>
      <c r="G47" s="6">
        <f t="shared" si="0"/>
        <v>787008.36</v>
      </c>
    </row>
    <row r="48" spans="1:7" ht="15.75" customHeight="1" x14ac:dyDescent="0.35">
      <c r="A48" s="3"/>
      <c r="B48" s="4"/>
      <c r="C48" s="4"/>
      <c r="D48" s="4"/>
      <c r="E48" s="4"/>
      <c r="F48" s="4"/>
      <c r="G48" s="4"/>
    </row>
    <row r="49" spans="1:7" ht="15.75" customHeight="1" x14ac:dyDescent="0.35"/>
    <row r="50" spans="1:7" ht="15.75" customHeight="1" x14ac:dyDescent="0.35"/>
    <row r="51" spans="1:7" ht="15.75" customHeight="1" x14ac:dyDescent="0.35">
      <c r="A51" s="10"/>
      <c r="B51" s="11"/>
      <c r="C51" s="11"/>
      <c r="D51" s="11"/>
      <c r="E51" s="11"/>
      <c r="F51" s="11"/>
      <c r="G51" s="11"/>
    </row>
    <row r="52" spans="1:7" ht="15.75" customHeight="1" x14ac:dyDescent="0.35"/>
    <row r="53" spans="1:7" ht="15.75" customHeight="1" x14ac:dyDescent="0.35"/>
    <row r="54" spans="1:7" ht="15.75" customHeight="1" x14ac:dyDescent="0.35"/>
    <row r="55" spans="1:7" ht="15.75" customHeight="1" x14ac:dyDescent="0.35"/>
    <row r="56" spans="1:7" ht="15.75" customHeight="1" x14ac:dyDescent="0.35"/>
    <row r="57" spans="1:7" ht="15.75" customHeight="1" x14ac:dyDescent="0.35"/>
    <row r="58" spans="1:7" ht="15.75" customHeight="1" x14ac:dyDescent="0.35"/>
    <row r="59" spans="1:7" ht="15.75" customHeight="1" x14ac:dyDescent="0.35"/>
    <row r="60" spans="1:7" ht="15.75" customHeight="1" x14ac:dyDescent="0.35"/>
    <row r="61" spans="1:7" ht="15.75" customHeight="1" x14ac:dyDescent="0.35"/>
    <row r="62" spans="1:7" ht="15.75" customHeight="1" x14ac:dyDescent="0.35"/>
    <row r="63" spans="1:7" ht="15.75" customHeight="1" x14ac:dyDescent="0.35"/>
    <row r="64" spans="1:7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G1"/>
    <mergeCell ref="A2:G2"/>
    <mergeCell ref="A3:G3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R Aging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Warga</cp:lastModifiedBy>
  <dcterms:created xsi:type="dcterms:W3CDTF">2026-05-04T20:44:00Z</dcterms:created>
  <dcterms:modified xsi:type="dcterms:W3CDTF">2026-05-28T19:34:31Z</dcterms:modified>
</cp:coreProperties>
</file>