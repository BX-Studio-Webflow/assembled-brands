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45d0209dc381dc/"/>
    </mc:Choice>
  </mc:AlternateContent>
  <xr:revisionPtr revIDLastSave="9" documentId="11_727FA20F62E20BABB720FD2987EBA8BD590645FF" xr6:coauthVersionLast="47" xr6:coauthVersionMax="47" xr10:uidLastSave="{CB5D08C3-A03E-480A-9E95-269AB04348DC}"/>
  <bookViews>
    <workbookView xWindow="38280" yWindow="-120" windowWidth="29040" windowHeight="15720" xr2:uid="{00000000-000D-0000-FFFF-FFFF00000000}"/>
  </bookViews>
  <sheets>
    <sheet name="A P Aging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rTohmYoSZO37xp1mAuk506JZL5QoGrLo4sM7s6VRtk="/>
    </ext>
  </extLst>
</workbook>
</file>

<file path=xl/calcChain.xml><?xml version="1.0" encoding="utf-8"?>
<calcChain xmlns="http://schemas.openxmlformats.org/spreadsheetml/2006/main">
  <c r="C38" i="1" l="1"/>
  <c r="G38" i="1" s="1"/>
  <c r="F37" i="1"/>
  <c r="D37" i="1"/>
  <c r="C37" i="1"/>
  <c r="G37" i="1" s="1"/>
  <c r="F36" i="1"/>
  <c r="C36" i="1"/>
  <c r="B36" i="1"/>
  <c r="G36" i="1" s="1"/>
  <c r="B35" i="1"/>
  <c r="G35" i="1" s="1"/>
  <c r="F34" i="1"/>
  <c r="G34" i="1" s="1"/>
  <c r="F33" i="1"/>
  <c r="G33" i="1" s="1"/>
  <c r="G32" i="1"/>
  <c r="B32" i="1"/>
  <c r="F31" i="1"/>
  <c r="G31" i="1" s="1"/>
  <c r="C30" i="1"/>
  <c r="G30" i="1" s="1"/>
  <c r="G29" i="1"/>
  <c r="C29" i="1"/>
  <c r="G28" i="1"/>
  <c r="B28" i="1"/>
  <c r="C27" i="1"/>
  <c r="G27" i="1" s="1"/>
  <c r="B26" i="1"/>
  <c r="G26" i="1" s="1"/>
  <c r="C25" i="1"/>
  <c r="G25" i="1" s="1"/>
  <c r="G24" i="1"/>
  <c r="B24" i="1"/>
  <c r="G23" i="1"/>
  <c r="B23" i="1"/>
  <c r="G22" i="1"/>
  <c r="F22" i="1"/>
  <c r="G21" i="1"/>
  <c r="B21" i="1"/>
  <c r="G20" i="1"/>
  <c r="B20" i="1"/>
  <c r="G19" i="1"/>
  <c r="F19" i="1"/>
  <c r="C18" i="1"/>
  <c r="G18" i="1" s="1"/>
  <c r="F17" i="1"/>
  <c r="G17" i="1" s="1"/>
  <c r="G16" i="1"/>
  <c r="B16" i="1"/>
  <c r="G15" i="1"/>
  <c r="E15" i="1"/>
  <c r="E39" i="1" s="1"/>
  <c r="F14" i="1"/>
  <c r="B14" i="1"/>
  <c r="G14" i="1" s="1"/>
  <c r="C13" i="1"/>
  <c r="G13" i="1" s="1"/>
  <c r="B13" i="1"/>
  <c r="G12" i="1"/>
  <c r="F12" i="1"/>
  <c r="C11" i="1"/>
  <c r="G11" i="1" s="1"/>
  <c r="F10" i="1"/>
  <c r="G10" i="1" s="1"/>
  <c r="G9" i="1"/>
  <c r="D9" i="1"/>
  <c r="D39" i="1" s="1"/>
  <c r="G8" i="1"/>
  <c r="B8" i="1"/>
  <c r="G7" i="1"/>
  <c r="B7" i="1"/>
  <c r="B6" i="1"/>
  <c r="B39" i="1" s="1"/>
  <c r="G6" i="1" l="1"/>
  <c r="C39" i="1"/>
  <c r="G39" i="1" s="1"/>
  <c r="F39" i="1"/>
</calcChain>
</file>

<file path=xl/sharedStrings.xml><?xml version="1.0" encoding="utf-8"?>
<sst xmlns="http://schemas.openxmlformats.org/spreadsheetml/2006/main" count="43" uniqueCount="43">
  <si>
    <t>A/P Aging Summary</t>
  </si>
  <si>
    <t>Current</t>
  </si>
  <si>
    <t>1 - 30</t>
  </si>
  <si>
    <t>31 - 60</t>
  </si>
  <si>
    <t>61 - 90</t>
  </si>
  <si>
    <t>91 and over</t>
  </si>
  <si>
    <t>Total</t>
  </si>
  <si>
    <t>TOTAL</t>
  </si>
  <si>
    <t xml:space="preserve">As of </t>
  </si>
  <si>
    <t>Example Company</t>
  </si>
  <si>
    <t>Vendor 1</t>
  </si>
  <si>
    <t>Vendor 2</t>
  </si>
  <si>
    <t>Vendor 3</t>
  </si>
  <si>
    <t>Vendor 4</t>
  </si>
  <si>
    <t>Vendor 5</t>
  </si>
  <si>
    <t>Vendor 6</t>
  </si>
  <si>
    <t>Vendor 7</t>
  </si>
  <si>
    <t>Vendor 8</t>
  </si>
  <si>
    <t>Vendor 9</t>
  </si>
  <si>
    <t>Vendor 10</t>
  </si>
  <si>
    <t>Vendor 11</t>
  </si>
  <si>
    <t>Vendor 12</t>
  </si>
  <si>
    <t>Vendor 13</t>
  </si>
  <si>
    <t>Vendor 14</t>
  </si>
  <si>
    <t>Vendor 15</t>
  </si>
  <si>
    <t>Vendor 16</t>
  </si>
  <si>
    <t>Vendor 17</t>
  </si>
  <si>
    <t>Vendor 18</t>
  </si>
  <si>
    <t>Vendor 19</t>
  </si>
  <si>
    <t>Vendor 20</t>
  </si>
  <si>
    <t>Vendor 21</t>
  </si>
  <si>
    <t>Vendor 22</t>
  </si>
  <si>
    <t>Vendor 23</t>
  </si>
  <si>
    <t>Vendor 24</t>
  </si>
  <si>
    <t>Vendor 25</t>
  </si>
  <si>
    <t>Vendor 26</t>
  </si>
  <si>
    <t>Vendor 27</t>
  </si>
  <si>
    <t>Vendor 28</t>
  </si>
  <si>
    <t>Vendor 29</t>
  </si>
  <si>
    <t>Vendor 30</t>
  </si>
  <si>
    <t>Vendor 31</t>
  </si>
  <si>
    <t>Vendor 32</t>
  </si>
  <si>
    <t>Vendor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</si>
</sst>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8" x14ac:knownFonts="1">
    <font>
      <sz val="11"/>
      <color rgb="FF000000"/>
      <name val="Calibri"/>
      <scheme val="minor"/>
    </font>
    <font>
      <b/>
      <sz val="14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wrapText="1"/>
    </xf>
    <xf numFmtId="165" fontId="5" fillId="0" borderId="2" xfId="0" applyNumberFormat="1" applyFont="1" applyBorder="1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5" topLeftCell="A6" activePane="bottomLeft" state="frozen"/>
      <selection pane="bottomLeft" activeCell="A3" sqref="A3:G3"/>
    </sheetView>
  </sheetViews>
  <sheetFormatPr defaultColWidth="14.453125" defaultRowHeight="15" customHeight="1" x14ac:dyDescent="0.35"/>
  <cols>
    <col min="1" max="1" width="8.54296875" bestFit="1" customWidth="1"/>
    <col min="2" max="3" width="10.26953125" customWidth="1"/>
    <col min="4" max="4" width="8.54296875" customWidth="1"/>
    <col min="5" max="5" width="7.7265625" customWidth="1"/>
    <col min="6" max="6" width="10.26953125" customWidth="1"/>
    <col min="7" max="7" width="11.08984375" customWidth="1"/>
    <col min="8" max="26" width="8.7265625" customWidth="1"/>
  </cols>
  <sheetData>
    <row r="1" spans="1:7" ht="18" x14ac:dyDescent="0.4">
      <c r="A1" s="7" t="s">
        <v>9</v>
      </c>
      <c r="B1" s="8"/>
      <c r="C1" s="8"/>
      <c r="D1" s="8"/>
      <c r="E1" s="8"/>
      <c r="F1" s="8"/>
      <c r="G1" s="8"/>
    </row>
    <row r="2" spans="1:7" ht="18" x14ac:dyDescent="0.4">
      <c r="A2" s="7" t="s">
        <v>0</v>
      </c>
      <c r="B2" s="8"/>
      <c r="C2" s="8"/>
      <c r="D2" s="8"/>
      <c r="E2" s="8"/>
      <c r="F2" s="8"/>
      <c r="G2" s="8"/>
    </row>
    <row r="3" spans="1:7" ht="14.5" x14ac:dyDescent="0.35">
      <c r="A3" s="9" t="s">
        <v>8</v>
      </c>
      <c r="B3" s="8"/>
      <c r="C3" s="8"/>
      <c r="D3" s="8"/>
      <c r="E3" s="8"/>
      <c r="F3" s="8"/>
      <c r="G3" s="8"/>
    </row>
    <row r="5" spans="1:7" ht="14.5" x14ac:dyDescent="0.35">
      <c r="A5" s="1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ht="14.5" x14ac:dyDescent="0.35">
      <c r="A6" s="3" t="s">
        <v>10</v>
      </c>
      <c r="B6" s="4">
        <f>3154.28</f>
        <v>3154.28</v>
      </c>
      <c r="C6" s="5"/>
      <c r="D6" s="5"/>
      <c r="E6" s="5"/>
      <c r="F6" s="5"/>
      <c r="G6" s="4">
        <f t="shared" ref="G6:G39" si="0">((((B6)+(C6))+(D6))+(E6))+(F6)</f>
        <v>3154.28</v>
      </c>
    </row>
    <row r="7" spans="1:7" ht="14.5" x14ac:dyDescent="0.35">
      <c r="A7" s="3" t="s">
        <v>11</v>
      </c>
      <c r="B7" s="4">
        <f>170.68</f>
        <v>170.68</v>
      </c>
      <c r="C7" s="5"/>
      <c r="D7" s="5"/>
      <c r="E7" s="5"/>
      <c r="F7" s="5"/>
      <c r="G7" s="4">
        <f t="shared" si="0"/>
        <v>170.68</v>
      </c>
    </row>
    <row r="8" spans="1:7" ht="14.5" x14ac:dyDescent="0.35">
      <c r="A8" s="3" t="s">
        <v>12</v>
      </c>
      <c r="B8" s="4">
        <f>610.68</f>
        <v>610.67999999999995</v>
      </c>
      <c r="C8" s="5"/>
      <c r="D8" s="5"/>
      <c r="E8" s="5"/>
      <c r="F8" s="5"/>
      <c r="G8" s="4">
        <f t="shared" si="0"/>
        <v>610.67999999999995</v>
      </c>
    </row>
    <row r="9" spans="1:7" ht="14.5" x14ac:dyDescent="0.35">
      <c r="A9" s="3" t="s">
        <v>13</v>
      </c>
      <c r="B9" s="5"/>
      <c r="C9" s="5"/>
      <c r="D9" s="4">
        <f>873.5</f>
        <v>873.5</v>
      </c>
      <c r="E9" s="5"/>
      <c r="F9" s="5"/>
      <c r="G9" s="4">
        <f t="shared" si="0"/>
        <v>873.5</v>
      </c>
    </row>
    <row r="10" spans="1:7" ht="14.5" x14ac:dyDescent="0.35">
      <c r="A10" s="3" t="s">
        <v>14</v>
      </c>
      <c r="B10" s="5"/>
      <c r="C10" s="5"/>
      <c r="D10" s="5"/>
      <c r="E10" s="5"/>
      <c r="F10" s="4">
        <f>2300</f>
        <v>2300</v>
      </c>
      <c r="G10" s="4">
        <f t="shared" si="0"/>
        <v>2300</v>
      </c>
    </row>
    <row r="11" spans="1:7" ht="14.5" x14ac:dyDescent="0.35">
      <c r="A11" s="3" t="s">
        <v>15</v>
      </c>
      <c r="B11" s="5"/>
      <c r="C11" s="4">
        <f>2667</f>
        <v>2667</v>
      </c>
      <c r="D11" s="5"/>
      <c r="E11" s="5"/>
      <c r="F11" s="5"/>
      <c r="G11" s="4">
        <f t="shared" si="0"/>
        <v>2667</v>
      </c>
    </row>
    <row r="12" spans="1:7" ht="14.5" x14ac:dyDescent="0.35">
      <c r="A12" s="3" t="s">
        <v>16</v>
      </c>
      <c r="B12" s="5"/>
      <c r="C12" s="5"/>
      <c r="D12" s="5"/>
      <c r="E12" s="5"/>
      <c r="F12" s="4">
        <f>-13183.35</f>
        <v>-13183.35</v>
      </c>
      <c r="G12" s="4">
        <f t="shared" si="0"/>
        <v>-13183.35</v>
      </c>
    </row>
    <row r="13" spans="1:7" ht="14.5" x14ac:dyDescent="0.35">
      <c r="A13" s="3" t="s">
        <v>17</v>
      </c>
      <c r="B13" s="4">
        <f>4915</f>
        <v>4915</v>
      </c>
      <c r="C13" s="4">
        <f>4335</f>
        <v>4335</v>
      </c>
      <c r="D13" s="5"/>
      <c r="E13" s="5"/>
      <c r="F13" s="5"/>
      <c r="G13" s="4">
        <f t="shared" si="0"/>
        <v>9250</v>
      </c>
    </row>
    <row r="14" spans="1:7" ht="14.5" x14ac:dyDescent="0.35">
      <c r="A14" s="3" t="s">
        <v>18</v>
      </c>
      <c r="B14" s="4">
        <f>700</f>
        <v>700</v>
      </c>
      <c r="C14" s="5"/>
      <c r="D14" s="5"/>
      <c r="E14" s="5"/>
      <c r="F14" s="4">
        <f>-19.42</f>
        <v>-19.420000000000002</v>
      </c>
      <c r="G14" s="4">
        <f t="shared" si="0"/>
        <v>680.58</v>
      </c>
    </row>
    <row r="15" spans="1:7" ht="14.5" x14ac:dyDescent="0.35">
      <c r="A15" s="3" t="s">
        <v>19</v>
      </c>
      <c r="B15" s="5"/>
      <c r="C15" s="5"/>
      <c r="D15" s="5"/>
      <c r="E15" s="4">
        <f>145.6</f>
        <v>145.6</v>
      </c>
      <c r="F15" s="5"/>
      <c r="G15" s="4">
        <f t="shared" si="0"/>
        <v>145.6</v>
      </c>
    </row>
    <row r="16" spans="1:7" ht="14.5" x14ac:dyDescent="0.35">
      <c r="A16" s="3" t="s">
        <v>20</v>
      </c>
      <c r="B16" s="4">
        <f>6000</f>
        <v>6000</v>
      </c>
      <c r="C16" s="5"/>
      <c r="D16" s="5"/>
      <c r="E16" s="5"/>
      <c r="F16" s="5"/>
      <c r="G16" s="4">
        <f t="shared" si="0"/>
        <v>6000</v>
      </c>
    </row>
    <row r="17" spans="1:7" ht="14.5" x14ac:dyDescent="0.35">
      <c r="A17" s="3" t="s">
        <v>21</v>
      </c>
      <c r="B17" s="5"/>
      <c r="C17" s="5"/>
      <c r="D17" s="5"/>
      <c r="E17" s="5"/>
      <c r="F17" s="4">
        <f>212.5</f>
        <v>212.5</v>
      </c>
      <c r="G17" s="4">
        <f t="shared" si="0"/>
        <v>212.5</v>
      </c>
    </row>
    <row r="18" spans="1:7" ht="14.5" x14ac:dyDescent="0.35">
      <c r="A18" s="3" t="s">
        <v>22</v>
      </c>
      <c r="B18" s="5"/>
      <c r="C18" s="4">
        <f>350</f>
        <v>350</v>
      </c>
      <c r="D18" s="5"/>
      <c r="E18" s="5"/>
      <c r="F18" s="5"/>
      <c r="G18" s="4">
        <f t="shared" si="0"/>
        <v>350</v>
      </c>
    </row>
    <row r="19" spans="1:7" ht="14.5" x14ac:dyDescent="0.35">
      <c r="A19" s="3" t="s">
        <v>23</v>
      </c>
      <c r="B19" s="5"/>
      <c r="C19" s="5"/>
      <c r="D19" s="5"/>
      <c r="E19" s="5"/>
      <c r="F19" s="4">
        <f>5179.3</f>
        <v>5179.3</v>
      </c>
      <c r="G19" s="4">
        <f t="shared" si="0"/>
        <v>5179.3</v>
      </c>
    </row>
    <row r="20" spans="1:7" ht="14.5" x14ac:dyDescent="0.35">
      <c r="A20" s="3" t="s">
        <v>24</v>
      </c>
      <c r="B20" s="4">
        <f>5000</f>
        <v>5000</v>
      </c>
      <c r="C20" s="5"/>
      <c r="D20" s="5"/>
      <c r="E20" s="5"/>
      <c r="F20" s="5"/>
      <c r="G20" s="4">
        <f t="shared" si="0"/>
        <v>5000</v>
      </c>
    </row>
    <row r="21" spans="1:7" ht="15.75" customHeight="1" x14ac:dyDescent="0.35">
      <c r="A21" s="3" t="s">
        <v>25</v>
      </c>
      <c r="B21" s="4">
        <f>54136.03</f>
        <v>54136.03</v>
      </c>
      <c r="C21" s="5"/>
      <c r="D21" s="5"/>
      <c r="E21" s="5"/>
      <c r="F21" s="5"/>
      <c r="G21" s="4">
        <f t="shared" si="0"/>
        <v>54136.03</v>
      </c>
    </row>
    <row r="22" spans="1:7" ht="15.75" customHeight="1" x14ac:dyDescent="0.35">
      <c r="A22" s="3" t="s">
        <v>26</v>
      </c>
      <c r="B22" s="5"/>
      <c r="C22" s="5"/>
      <c r="D22" s="5"/>
      <c r="E22" s="5"/>
      <c r="F22" s="4">
        <f>-450</f>
        <v>-450</v>
      </c>
      <c r="G22" s="4">
        <f t="shared" si="0"/>
        <v>-450</v>
      </c>
    </row>
    <row r="23" spans="1:7" ht="15.75" customHeight="1" x14ac:dyDescent="0.35">
      <c r="A23" s="3" t="s">
        <v>27</v>
      </c>
      <c r="B23" s="4">
        <f>4000</f>
        <v>4000</v>
      </c>
      <c r="C23" s="5"/>
      <c r="D23" s="5"/>
      <c r="E23" s="5"/>
      <c r="F23" s="5"/>
      <c r="G23" s="4">
        <f t="shared" si="0"/>
        <v>4000</v>
      </c>
    </row>
    <row r="24" spans="1:7" ht="15.75" customHeight="1" x14ac:dyDescent="0.35">
      <c r="A24" s="3" t="s">
        <v>28</v>
      </c>
      <c r="B24" s="4">
        <f>5654.04</f>
        <v>5654.04</v>
      </c>
      <c r="C24" s="5"/>
      <c r="D24" s="5"/>
      <c r="E24" s="5"/>
      <c r="F24" s="5"/>
      <c r="G24" s="4">
        <f t="shared" si="0"/>
        <v>5654.04</v>
      </c>
    </row>
    <row r="25" spans="1:7" ht="15.75" customHeight="1" x14ac:dyDescent="0.35">
      <c r="A25" s="3" t="s">
        <v>29</v>
      </c>
      <c r="B25" s="5"/>
      <c r="C25" s="4">
        <f>461.13</f>
        <v>461.13</v>
      </c>
      <c r="D25" s="5"/>
      <c r="E25" s="5"/>
      <c r="F25" s="5"/>
      <c r="G25" s="4">
        <f t="shared" si="0"/>
        <v>461.13</v>
      </c>
    </row>
    <row r="26" spans="1:7" ht="15.75" customHeight="1" x14ac:dyDescent="0.35">
      <c r="A26" s="3" t="s">
        <v>30</v>
      </c>
      <c r="B26" s="4">
        <f>30000</f>
        <v>30000</v>
      </c>
      <c r="C26" s="5"/>
      <c r="D26" s="5"/>
      <c r="E26" s="5"/>
      <c r="F26" s="5"/>
      <c r="G26" s="4">
        <f t="shared" si="0"/>
        <v>30000</v>
      </c>
    </row>
    <row r="27" spans="1:7" ht="15.75" customHeight="1" x14ac:dyDescent="0.35">
      <c r="A27" s="3" t="s">
        <v>31</v>
      </c>
      <c r="B27" s="5"/>
      <c r="C27" s="4">
        <f>44273.4</f>
        <v>44273.4</v>
      </c>
      <c r="D27" s="5"/>
      <c r="E27" s="5"/>
      <c r="F27" s="5"/>
      <c r="G27" s="4">
        <f t="shared" si="0"/>
        <v>44273.4</v>
      </c>
    </row>
    <row r="28" spans="1:7" ht="15.75" customHeight="1" x14ac:dyDescent="0.35">
      <c r="A28" s="3" t="s">
        <v>32</v>
      </c>
      <c r="B28" s="4">
        <f>2372.02</f>
        <v>2372.02</v>
      </c>
      <c r="C28" s="5"/>
      <c r="D28" s="5"/>
      <c r="E28" s="5"/>
      <c r="F28" s="5"/>
      <c r="G28" s="4">
        <f t="shared" si="0"/>
        <v>2372.02</v>
      </c>
    </row>
    <row r="29" spans="1:7" ht="15.75" customHeight="1" x14ac:dyDescent="0.35">
      <c r="A29" s="3" t="s">
        <v>33</v>
      </c>
      <c r="B29" s="5"/>
      <c r="C29" s="4">
        <f>53631.6</f>
        <v>53631.6</v>
      </c>
      <c r="D29" s="5"/>
      <c r="E29" s="5"/>
      <c r="F29" s="5"/>
      <c r="G29" s="4">
        <f t="shared" si="0"/>
        <v>53631.6</v>
      </c>
    </row>
    <row r="30" spans="1:7" ht="15.75" customHeight="1" x14ac:dyDescent="0.35">
      <c r="A30" s="3" t="s">
        <v>34</v>
      </c>
      <c r="B30" s="5"/>
      <c r="C30" s="4">
        <f>1588</f>
        <v>1588</v>
      </c>
      <c r="D30" s="5"/>
      <c r="E30" s="5"/>
      <c r="F30" s="5"/>
      <c r="G30" s="4">
        <f t="shared" si="0"/>
        <v>1588</v>
      </c>
    </row>
    <row r="31" spans="1:7" ht="15.75" customHeight="1" x14ac:dyDescent="0.35">
      <c r="A31" s="3" t="s">
        <v>35</v>
      </c>
      <c r="B31" s="5"/>
      <c r="C31" s="5"/>
      <c r="D31" s="5"/>
      <c r="E31" s="5"/>
      <c r="F31" s="4">
        <f>2634.75</f>
        <v>2634.75</v>
      </c>
      <c r="G31" s="4">
        <f t="shared" si="0"/>
        <v>2634.75</v>
      </c>
    </row>
    <row r="32" spans="1:7" ht="15.75" customHeight="1" x14ac:dyDescent="0.35">
      <c r="A32" s="3" t="s">
        <v>36</v>
      </c>
      <c r="B32" s="4">
        <f>2236.5</f>
        <v>2236.5</v>
      </c>
      <c r="C32" s="5"/>
      <c r="D32" s="5"/>
      <c r="E32" s="5"/>
      <c r="F32" s="5"/>
      <c r="G32" s="4">
        <f t="shared" si="0"/>
        <v>2236.5</v>
      </c>
    </row>
    <row r="33" spans="1:7" ht="15.75" customHeight="1" x14ac:dyDescent="0.35">
      <c r="A33" s="3" t="s">
        <v>37</v>
      </c>
      <c r="B33" s="5"/>
      <c r="C33" s="5"/>
      <c r="D33" s="5"/>
      <c r="E33" s="5"/>
      <c r="F33" s="4">
        <f>1880</f>
        <v>1880</v>
      </c>
      <c r="G33" s="4">
        <f t="shared" si="0"/>
        <v>1880</v>
      </c>
    </row>
    <row r="34" spans="1:7" ht="15.75" customHeight="1" x14ac:dyDescent="0.35">
      <c r="A34" s="3" t="s">
        <v>38</v>
      </c>
      <c r="B34" s="5"/>
      <c r="C34" s="5"/>
      <c r="D34" s="5"/>
      <c r="E34" s="5"/>
      <c r="F34" s="4">
        <f>-306.01</f>
        <v>-306.01</v>
      </c>
      <c r="G34" s="4">
        <f t="shared" si="0"/>
        <v>-306.01</v>
      </c>
    </row>
    <row r="35" spans="1:7" ht="15.75" customHeight="1" x14ac:dyDescent="0.35">
      <c r="A35" s="3" t="s">
        <v>39</v>
      </c>
      <c r="B35" s="4">
        <f>2090</f>
        <v>2090</v>
      </c>
      <c r="C35" s="5"/>
      <c r="D35" s="5"/>
      <c r="E35" s="5"/>
      <c r="F35" s="5"/>
      <c r="G35" s="4">
        <f t="shared" si="0"/>
        <v>2090</v>
      </c>
    </row>
    <row r="36" spans="1:7" ht="15.75" customHeight="1" x14ac:dyDescent="0.35">
      <c r="A36" s="3" t="s">
        <v>40</v>
      </c>
      <c r="B36" s="4">
        <f>417.2</f>
        <v>417.2</v>
      </c>
      <c r="C36" s="4">
        <f>1900.4</f>
        <v>1900.4</v>
      </c>
      <c r="D36" s="5"/>
      <c r="E36" s="5"/>
      <c r="F36" s="4">
        <f>8</f>
        <v>8</v>
      </c>
      <c r="G36" s="4">
        <f t="shared" si="0"/>
        <v>2325.6</v>
      </c>
    </row>
    <row r="37" spans="1:7" ht="15.75" customHeight="1" x14ac:dyDescent="0.35">
      <c r="A37" s="3" t="s">
        <v>41</v>
      </c>
      <c r="B37" s="5"/>
      <c r="C37" s="4">
        <f>16898.21</f>
        <v>16898.21</v>
      </c>
      <c r="D37" s="4">
        <f>3200</f>
        <v>3200</v>
      </c>
      <c r="E37" s="5"/>
      <c r="F37" s="4">
        <f>267.57</f>
        <v>267.57</v>
      </c>
      <c r="G37" s="4">
        <f t="shared" si="0"/>
        <v>20365.78</v>
      </c>
    </row>
    <row r="38" spans="1:7" ht="15.75" customHeight="1" x14ac:dyDescent="0.35">
      <c r="A38" s="3" t="s">
        <v>42</v>
      </c>
      <c r="B38" s="5"/>
      <c r="C38" s="4">
        <f>41442</f>
        <v>41442</v>
      </c>
      <c r="D38" s="5"/>
      <c r="E38" s="5"/>
      <c r="F38" s="5"/>
      <c r="G38" s="4">
        <f t="shared" si="0"/>
        <v>41442</v>
      </c>
    </row>
    <row r="39" spans="1:7" ht="15.75" customHeight="1" x14ac:dyDescent="0.35">
      <c r="A39" s="3" t="s">
        <v>7</v>
      </c>
      <c r="B39" s="6">
        <f t="shared" ref="B39:F39" si="1">((((((((((((((((((((((((((((((((B6)+(B7))+(B8))+(B9))+(B10))+(B11))+(B12))+(B13))+(B14))+(B15))+(B16))+(B17))+(B18))+(B19))+(B20))+(B21))+(B22))+(B23))+(B24))+(B25))+(B26))+(B27))+(B28))+(B29))+(B30))+(B31))+(B32))+(B33))+(B34))+(B35))+(B36))+(B37))+(B38)</f>
        <v>121456.43</v>
      </c>
      <c r="C39" s="6">
        <f t="shared" si="1"/>
        <v>167546.74</v>
      </c>
      <c r="D39" s="6">
        <f t="shared" si="1"/>
        <v>4073.5</v>
      </c>
      <c r="E39" s="6">
        <f t="shared" si="1"/>
        <v>145.6</v>
      </c>
      <c r="F39" s="6">
        <f t="shared" si="1"/>
        <v>-1476.6600000000003</v>
      </c>
      <c r="G39" s="6">
        <f t="shared" si="0"/>
        <v>291745.61</v>
      </c>
    </row>
    <row r="40" spans="1:7" ht="15.75" customHeight="1" x14ac:dyDescent="0.35">
      <c r="A40" s="3"/>
      <c r="B40" s="5"/>
      <c r="C40" s="5"/>
      <c r="D40" s="5"/>
      <c r="E40" s="5"/>
      <c r="F40" s="5"/>
      <c r="G40" s="5"/>
    </row>
    <row r="41" spans="1:7" ht="15.75" customHeight="1" x14ac:dyDescent="0.35"/>
    <row r="42" spans="1:7" ht="15.75" customHeight="1" x14ac:dyDescent="0.35"/>
    <row r="43" spans="1:7" ht="15.75" customHeight="1" x14ac:dyDescent="0.35">
      <c r="A43" s="10"/>
      <c r="B43" s="11"/>
      <c r="C43" s="11"/>
      <c r="D43" s="11"/>
      <c r="E43" s="11"/>
      <c r="F43" s="11"/>
      <c r="G43" s="11"/>
    </row>
    <row r="44" spans="1:7" ht="15.75" customHeight="1" x14ac:dyDescent="0.35"/>
    <row r="45" spans="1:7" ht="15.75" customHeight="1" x14ac:dyDescent="0.35"/>
    <row r="46" spans="1:7" ht="15.75" customHeight="1" x14ac:dyDescent="0.35"/>
    <row r="47" spans="1:7" ht="15.75" customHeight="1" x14ac:dyDescent="0.35"/>
    <row r="48" spans="1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G1"/>
    <mergeCell ref="A2:G2"/>
    <mergeCell ref="A3:G3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P Aging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Warga</cp:lastModifiedBy>
  <dcterms:created xsi:type="dcterms:W3CDTF">2026-05-04T20:46:14Z</dcterms:created>
  <dcterms:modified xsi:type="dcterms:W3CDTF">2026-05-28T19:33:28Z</dcterms:modified>
</cp:coreProperties>
</file>